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BCBDA1A9-77B2-454C-A538-B27F24CA982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H26" i="1"/>
  <c r="H20" i="1"/>
</calcChain>
</file>

<file path=xl/sharedStrings.xml><?xml version="1.0" encoding="utf-8"?>
<sst xmlns="http://schemas.openxmlformats.org/spreadsheetml/2006/main" count="91" uniqueCount="71">
  <si>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</si>
  <si>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</si>
  <si>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</si>
  <si>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</si>
  <si>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</si>
  <si>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</si>
  <si>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</si>
  <si>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</si>
  <si>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</si>
  <si>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</si>
  <si>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</si>
  <si>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</si>
  <si>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</si>
  <si>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</si>
  <si>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</si>
  <si>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</si>
  <si>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</si>
  <si>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</si>
  <si>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</si>
  <si>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</si>
  <si>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</si>
  <si>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</si>
  <si>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</si>
  <si>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</si>
  <si>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</si>
  <si>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</si>
  <si>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</si>
  <si>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</si>
  <si>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</si>
  <si>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</si>
  <si>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</si>
  <si>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</si>
  <si>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</si>
  <si>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</si>
  <si>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</si>
  <si>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</si>
  <si>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</si>
  <si>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</si>
  <si>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</si>
  <si>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</si>
  <si>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</si>
  <si>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</si>
  <si>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</si>
  <si>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</si>
  <si>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</si>
  <si>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</si>
  <si>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</si>
  <si>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</si>
  <si>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</si>
  <si>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</si>
  <si>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</si>
  <si>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</si>
  <si>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</si>
  <si>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</si>
  <si>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</si>
  <si>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</si>
  <si>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</si>
  <si>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</si>
  <si>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</si>
  <si>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</si>
  <si>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</si>
  <si>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</si>
  <si>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</si>
  <si>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</si>
  <si>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</si>
  <si>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</si>
  <si>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</si>
  <si>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2023010281 BR,PB</t>
  </si>
  <si>
    <t>NA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</si>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</sst>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Border="1"/>
    <xf numFmtId="0" fontId="3" fillId="0" borderId="14" xfId="0" applyFont="1" applyBorder="1"/>
    <xf numFmtId="0" fontId="3" fillId="0" borderId="16" xfId="0" applyFont="1" applyBorder="1"/>
    <xf numFmtId="14" fontId="0" fillId="0" borderId="15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2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0" fillId="0" borderId="13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I42" sqref="I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 t="s">
        <v>67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1">
        <v>210524</v>
      </c>
      <c r="E4" s="68"/>
      <c r="F4" s="68"/>
      <c r="G4" s="68"/>
      <c r="H4" s="68"/>
      <c r="I4" s="68"/>
      <c r="J4" s="69"/>
    </row>
    <row r="5" spans="1:26" ht="15" customHeight="1">
      <c r="A5" s="72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2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3" t="s">
        <v>6</v>
      </c>
      <c r="B7" s="63"/>
      <c r="C7" s="74" t="s">
        <v>7</v>
      </c>
      <c r="D7" s="63"/>
      <c r="E7" s="63"/>
      <c r="F7" s="2" t="s">
        <v>8</v>
      </c>
      <c r="G7" s="62" t="s">
        <v>9</v>
      </c>
      <c r="H7" s="63"/>
      <c r="I7" s="63"/>
      <c r="J7" s="64"/>
    </row>
    <row r="8" spans="1:26" ht="15" customHeight="1">
      <c r="A8" s="75" t="s">
        <v>10</v>
      </c>
      <c r="B8" s="37"/>
      <c r="C8" s="76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65"/>
      <c r="J8" s="66"/>
    </row>
    <row r="9" spans="1:26" ht="30" customHeight="1">
      <c r="A9" s="75" t="s">
        <v>15</v>
      </c>
      <c r="B9" s="37"/>
      <c r="C9" s="76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5" t="s">
        <v>20</v>
      </c>
      <c r="B10" s="37"/>
      <c r="C10" s="76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5" t="s">
        <v>25</v>
      </c>
      <c r="B11" s="37"/>
      <c r="C11" s="76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5" t="s">
        <v>30</v>
      </c>
      <c r="B12" s="37"/>
      <c r="C12" s="76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5" t="s">
        <v>35</v>
      </c>
      <c r="B13" s="37"/>
      <c r="C13" s="76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5" t="s">
        <v>40</v>
      </c>
      <c r="B14" s="37"/>
      <c r="C14" s="76" t="s">
        <v>41</v>
      </c>
      <c r="D14" s="37"/>
      <c r="E14" s="7"/>
      <c r="F14" s="77" t="s">
        <v>42</v>
      </c>
      <c r="G14" s="37"/>
      <c r="H14" s="37"/>
      <c r="I14" s="78" t="s">
        <v>43</v>
      </c>
      <c r="J14" s="66"/>
    </row>
    <row r="15" spans="1:26" ht="15" customHeight="1">
      <c r="A15" s="75" t="s">
        <v>44</v>
      </c>
      <c r="B15" s="37"/>
      <c r="C15" s="76" t="s">
        <v>45</v>
      </c>
      <c r="D15" s="37"/>
      <c r="E15" s="7"/>
      <c r="F15" s="79" t="s">
        <v>64</v>
      </c>
      <c r="G15" s="37"/>
      <c r="H15" s="37"/>
      <c r="I15" s="38">
        <v>45808</v>
      </c>
      <c r="J15" s="39"/>
    </row>
    <row r="16" spans="1:26" ht="15" customHeight="1">
      <c r="A16" s="75" t="s">
        <v>46</v>
      </c>
      <c r="B16" s="37"/>
      <c r="C16" s="80" t="s">
        <v>47</v>
      </c>
      <c r="D16" s="37"/>
      <c r="E16" s="37"/>
      <c r="F16" s="36" t="s">
        <v>65</v>
      </c>
      <c r="G16" s="37"/>
      <c r="H16" s="37"/>
      <c r="I16" s="38">
        <v>45716</v>
      </c>
      <c r="J16" s="39"/>
    </row>
    <row r="17" spans="1:26">
      <c r="A17" s="3"/>
      <c r="B17" s="2"/>
      <c r="C17" s="13"/>
      <c r="D17" s="13"/>
      <c r="E17" s="13"/>
      <c r="F17" s="36" t="s">
        <v>66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0" t="s">
        <v>63</v>
      </c>
      <c r="G18" s="41"/>
      <c r="H18" s="41"/>
      <c r="I18" s="42">
        <v>46142</v>
      </c>
      <c r="J18" s="43"/>
    </row>
    <row r="19" spans="1:26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>
      <c r="A20" s="47" t="s">
        <v>49</v>
      </c>
      <c r="B20" s="48"/>
      <c r="C20" s="27" t="s">
        <v>68</v>
      </c>
      <c r="D20" s="28" t="s">
        <v>50</v>
      </c>
      <c r="E20" s="29">
        <v>1000</v>
      </c>
      <c r="F20" s="49" t="s">
        <v>51</v>
      </c>
      <c r="G20" s="48"/>
      <c r="H20" s="50" t="str">
        <f>IF(AND(C21&lt;0.15),"&lt;0.15",C21)</f>
        <v>NA</v>
      </c>
      <c r="I20" s="51"/>
      <c r="J20" s="30" t="s">
        <v>52</v>
      </c>
    </row>
    <row r="21" spans="1:26" ht="15.75" customHeight="1">
      <c r="A21" s="31" t="s">
        <v>53</v>
      </c>
      <c r="B21" s="32"/>
      <c r="C21" s="52" t="s">
        <v>68</v>
      </c>
      <c r="D21" s="53"/>
      <c r="E21" s="33"/>
      <c r="F21" s="32"/>
      <c r="G21" s="32"/>
      <c r="H21" s="32"/>
      <c r="I21" s="32"/>
      <c r="J21" s="30"/>
    </row>
    <row r="22" spans="1:26" ht="15.75" customHeight="1">
      <c r="A22" s="54" t="s">
        <v>56</v>
      </c>
      <c r="B22" s="55"/>
      <c r="C22" s="55"/>
      <c r="D22" s="55"/>
      <c r="E22" s="55"/>
      <c r="F22" s="55"/>
      <c r="G22" s="55"/>
      <c r="H22" s="55"/>
      <c r="I22" s="55"/>
      <c r="J22" s="5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47" t="s">
        <v>49</v>
      </c>
      <c r="B23" s="48"/>
      <c r="C23" s="27" t="s">
        <v>68</v>
      </c>
      <c r="D23" s="28" t="s">
        <v>50</v>
      </c>
      <c r="E23" s="34">
        <v>1000</v>
      </c>
      <c r="F23" s="49" t="s">
        <v>51</v>
      </c>
      <c r="G23" s="48"/>
      <c r="H23" s="50" t="str">
        <f>IF(C24&lt;0.15,"&lt;0.15",C24)</f>
        <v>NA</v>
      </c>
      <c r="I23" s="51"/>
      <c r="J23" s="30" t="s">
        <v>52</v>
      </c>
    </row>
    <row r="24" spans="1:26" ht="15.75" customHeight="1">
      <c r="A24" s="31" t="s">
        <v>53</v>
      </c>
      <c r="B24" s="32"/>
      <c r="C24" s="52" t="s">
        <v>68</v>
      </c>
      <c r="D24" s="53"/>
      <c r="E24" s="33"/>
      <c r="F24" s="32"/>
      <c r="G24" s="32"/>
      <c r="H24" s="32"/>
      <c r="I24" s="32"/>
      <c r="J24" s="30"/>
    </row>
    <row r="25" spans="1:26" ht="15.75" customHeight="1">
      <c r="A25" s="54" t="s">
        <v>54</v>
      </c>
      <c r="B25" s="55"/>
      <c r="C25" s="55"/>
      <c r="D25" s="55"/>
      <c r="E25" s="55"/>
      <c r="F25" s="55"/>
      <c r="G25" s="55"/>
      <c r="H25" s="55"/>
      <c r="I25" s="55"/>
      <c r="J25" s="5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57" t="s">
        <v>49</v>
      </c>
      <c r="B26" s="37"/>
      <c r="C26" s="27" t="s">
        <v>68</v>
      </c>
      <c r="D26" s="28" t="s">
        <v>50</v>
      </c>
      <c r="E26" s="34">
        <v>1000</v>
      </c>
      <c r="F26" s="58" t="s">
        <v>51</v>
      </c>
      <c r="G26" s="48"/>
      <c r="H26" s="50" t="str">
        <f>IF(AND(C27&lt;0.15),"&lt;0.15",C27)</f>
        <v>NA</v>
      </c>
      <c r="I26" s="51"/>
      <c r="J26" s="35" t="s">
        <v>52</v>
      </c>
    </row>
    <row r="27" spans="1:26" ht="15.75" customHeight="1">
      <c r="A27" s="31" t="s">
        <v>53</v>
      </c>
      <c r="B27" s="32"/>
      <c r="C27" s="59" t="s">
        <v>68</v>
      </c>
      <c r="D27" s="60"/>
      <c r="E27" s="33"/>
      <c r="F27" s="32"/>
      <c r="G27" s="32"/>
      <c r="H27" s="32"/>
      <c r="I27" s="32"/>
      <c r="J27" s="30"/>
    </row>
    <row r="28" spans="1:26" ht="15.75" customHeight="1">
      <c r="A28" s="54" t="s">
        <v>55</v>
      </c>
      <c r="B28" s="55"/>
      <c r="C28" s="55"/>
      <c r="D28" s="55"/>
      <c r="E28" s="55"/>
      <c r="F28" s="55"/>
      <c r="G28" s="55"/>
      <c r="H28" s="55"/>
      <c r="I28" s="55"/>
      <c r="J28" s="5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57" t="s">
        <v>49</v>
      </c>
      <c r="B29" s="37"/>
      <c r="C29" s="27">
        <v>15475.837</v>
      </c>
      <c r="D29" s="28" t="s">
        <v>50</v>
      </c>
      <c r="E29" s="34">
        <v>1000</v>
      </c>
      <c r="F29" s="61" t="s">
        <v>51</v>
      </c>
      <c r="G29" s="37"/>
      <c r="H29" s="50">
        <f>IF(AND(C30&lt;0.15),"&lt;0.15",C30)</f>
        <v>15.475837</v>
      </c>
      <c r="I29" s="51"/>
      <c r="J29" s="30" t="s">
        <v>52</v>
      </c>
    </row>
    <row r="30" spans="1:26" ht="15.75" customHeight="1">
      <c r="A30" s="31" t="s">
        <v>53</v>
      </c>
      <c r="B30" s="32"/>
      <c r="C30" s="52">
        <f>C29/1000</f>
        <v>15.475837</v>
      </c>
      <c r="D30" s="53"/>
      <c r="E30" s="33"/>
      <c r="F30" s="32"/>
      <c r="G30" s="32"/>
      <c r="H30" s="32"/>
      <c r="I30" s="32"/>
      <c r="J30" s="30"/>
    </row>
    <row r="31" spans="1:26" ht="15.75" customHeight="1">
      <c r="A31" s="84" t="s">
        <v>57</v>
      </c>
      <c r="B31" s="6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85" t="s">
        <v>59</v>
      </c>
      <c r="C32" s="37"/>
      <c r="D32" s="37"/>
      <c r="E32" s="66"/>
      <c r="F32" s="1"/>
      <c r="G32" s="1"/>
      <c r="H32" s="1"/>
      <c r="I32" s="1"/>
      <c r="J32" s="16"/>
    </row>
    <row r="33" spans="1:26" ht="15.75" customHeight="1">
      <c r="A33" s="20"/>
      <c r="B33" s="37"/>
      <c r="C33" s="37"/>
      <c r="D33" s="37"/>
      <c r="E33" s="66"/>
      <c r="F33" s="21"/>
      <c r="G33" s="1"/>
      <c r="H33" s="1"/>
      <c r="I33" s="1"/>
      <c r="J33" s="16"/>
    </row>
    <row r="34" spans="1:26" ht="15.75" customHeight="1">
      <c r="A34" s="22"/>
      <c r="B34" s="85" t="s">
        <v>60</v>
      </c>
      <c r="C34" s="37"/>
      <c r="D34" s="37"/>
      <c r="E34" s="66"/>
      <c r="F34" s="1"/>
      <c r="G34" s="1"/>
      <c r="H34" s="1"/>
      <c r="I34" s="1"/>
      <c r="J34" s="16"/>
    </row>
    <row r="35" spans="1:26" ht="15.75" customHeight="1">
      <c r="A35" s="22"/>
      <c r="B35" s="37"/>
      <c r="C35" s="37"/>
      <c r="D35" s="37"/>
      <c r="E35" s="66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6" t="s">
        <v>61</v>
      </c>
      <c r="B38" s="63"/>
      <c r="C38" s="63"/>
      <c r="D38" s="63"/>
      <c r="E38" s="63"/>
      <c r="F38" s="93" t="s">
        <v>69</v>
      </c>
      <c r="G38" s="95" t="s">
        <v>70</v>
      </c>
      <c r="H38" s="96">
        <v>45433</v>
      </c>
      <c r="I38" s="96"/>
      <c r="J38" s="89"/>
    </row>
    <row r="39" spans="1:26" ht="11.25" customHeight="1">
      <c r="A39" s="82"/>
      <c r="B39" s="83"/>
      <c r="C39" s="83"/>
      <c r="D39" s="83"/>
      <c r="E39" s="83"/>
      <c r="F39" s="92"/>
      <c r="G39" s="94"/>
      <c r="H39" s="91"/>
      <c r="I39" s="91"/>
      <c r="J39" s="90"/>
    </row>
    <row r="40" spans="1:26" ht="15.75" customHeight="1">
      <c r="A40" s="81" t="s">
        <v>62</v>
      </c>
      <c r="B40" s="63"/>
      <c r="C40" s="63"/>
      <c r="D40" s="63"/>
      <c r="E40" s="63"/>
      <c r="F40" s="87"/>
      <c r="G40" s="88"/>
      <c r="H40" s="88"/>
      <c r="I40" s="88"/>
      <c r="J40" s="16"/>
    </row>
    <row r="41" spans="1:26" ht="11.25" customHeight="1">
      <c r="A41" s="82"/>
      <c r="B41" s="83"/>
      <c r="C41" s="83"/>
      <c r="D41" s="83"/>
      <c r="E41" s="83"/>
      <c r="F41" s="23"/>
      <c r="G41" s="24"/>
      <c r="H41" s="24"/>
      <c r="I41" s="24"/>
      <c r="J41" s="25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2024-05-24T03:00:37Z</cp:lastPrinted>
  <dcterms:created xsi:type="dcterms:W3CDTF">2006-09-16T00:00:00Z</dcterms:created>
  <dcterms:modified xsi:type="dcterms:W3CDTF">2024-05-24T03:00:54Z</dcterms:modified>
</cp:coreProperties>
</file>