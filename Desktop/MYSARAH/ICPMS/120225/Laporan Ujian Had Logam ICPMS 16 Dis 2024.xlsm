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3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4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drawings/drawing5.xml" ContentType="application/vnd.openxmlformats-officedocument.drawing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drawings/drawing6.xml" ContentType="application/vnd.openxmlformats-officedocument.drawing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drawings/drawing7.xml" ContentType="application/vnd.openxmlformats-officedocument.drawing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drawings/drawing8.xml" ContentType="application/vnd.openxmlformats-officedocument.drawing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drawings/drawing9.xml" ContentType="application/vnd.openxmlformats-officedocument.drawing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drawings/drawing10.xml" ContentType="application/vnd.openxmlformats-officedocument.drawing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drawings/drawing11.xml" ContentType="application/vnd.openxmlformats-officedocument.drawing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drawings/drawing12.xml" ContentType="application/vnd.openxmlformats-officedocument.drawing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drawings/drawing13.xml" ContentType="application/vnd.openxmlformats-officedocument.drawing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drawings/drawing14.xml" ContentType="application/vnd.openxmlformats-officedocument.drawing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drawings/drawing15.xml" ContentType="application/vnd.openxmlformats-officedocument.drawing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39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unasama\Desktop\MYSARAH\ICPMS\120225\"/>
    </mc:Choice>
  </mc:AlternateContent>
  <xr:revisionPtr revIDLastSave="0" documentId="13_ncr:1_{A3DA552C-A1E1-45D1-A46F-D5D2F963D7D8}" xr6:coauthVersionLast="36" xr6:coauthVersionMax="36" xr10:uidLastSave="{00000000-0000-0000-0000-000000000000}"/>
  <bookViews>
    <workbookView xWindow="0" yWindow="0" windowWidth="28800" windowHeight="12300" activeTab="1" xr2:uid="{00000000-000D-0000-FFFF-FFFF00000000}"/>
  </bookViews>
  <sheets>
    <sheet name="FormSampel" sheetId="21" r:id="rId1"/>
    <sheet name="Sampel 1" sheetId="1" r:id="rId2"/>
    <sheet name="Sampel 2" sheetId="23" r:id="rId3"/>
    <sheet name="Sampel 3" sheetId="24" r:id="rId4"/>
    <sheet name="Sampel 4" sheetId="25" r:id="rId5"/>
    <sheet name="Sampel 5" sheetId="26" r:id="rId6"/>
    <sheet name="Sampel 6" sheetId="27" r:id="rId7"/>
    <sheet name="Sampel 7" sheetId="28" r:id="rId8"/>
    <sheet name="Sampel 8" sheetId="29" r:id="rId9"/>
    <sheet name="Sampel 9" sheetId="30" r:id="rId10"/>
    <sheet name="Sampel 10" sheetId="31" r:id="rId11"/>
    <sheet name="Sampel 11" sheetId="32" r:id="rId12"/>
    <sheet name="Sampel 12" sheetId="33" r:id="rId13"/>
    <sheet name="Sampel 13" sheetId="34" r:id="rId14"/>
    <sheet name="Sampel 14" sheetId="35" r:id="rId15"/>
    <sheet name="Sampel 15" sheetId="36" r:id="rId16"/>
  </sheets>
  <calcPr calcId="191029"/>
  <extLst>
    <ext uri="GoogleSheetsCustomDataVersion2">
      <go:sheetsCustomData xmlns:go="http://customooxmlschemas.google.com/" r:id="rId22" roundtripDataChecksum="OeDx82juqHY3uZlQVjZ5VC9zV5eEQciKrCMwgyxCCXY="/>
    </ext>
  </extLst>
</workbook>
</file>

<file path=xl/calcChain.xml><?xml version="1.0" encoding="utf-8"?>
<calcChain xmlns="http://schemas.openxmlformats.org/spreadsheetml/2006/main">
  <c r="C29" i="36" l="1"/>
  <c r="C30" i="36" s="1"/>
  <c r="H29" i="36" s="1"/>
  <c r="C26" i="36"/>
  <c r="C23" i="36"/>
  <c r="C24" i="36" s="1"/>
  <c r="H23" i="36" s="1"/>
  <c r="C20" i="36"/>
  <c r="C21" i="36" s="1"/>
  <c r="H20" i="36" s="1"/>
  <c r="C27" i="36"/>
  <c r="H26" i="36" s="1"/>
  <c r="C29" i="35"/>
  <c r="C30" i="35" s="1"/>
  <c r="H29" i="35" s="1"/>
  <c r="C26" i="35"/>
  <c r="C27" i="35" s="1"/>
  <c r="H26" i="35" s="1"/>
  <c r="C23" i="35"/>
  <c r="C24" i="35" s="1"/>
  <c r="H23" i="35" s="1"/>
  <c r="C20" i="35"/>
  <c r="C21" i="35" s="1"/>
  <c r="H20" i="35" s="1"/>
  <c r="C29" i="34"/>
  <c r="C30" i="34" s="1"/>
  <c r="H29" i="34" s="1"/>
  <c r="C26" i="34"/>
  <c r="C27" i="34" s="1"/>
  <c r="H26" i="34" s="1"/>
  <c r="C23" i="34"/>
  <c r="C24" i="34" s="1"/>
  <c r="H23" i="34" s="1"/>
  <c r="C20" i="34"/>
  <c r="C21" i="34"/>
  <c r="H20" i="34" s="1"/>
  <c r="C29" i="33"/>
  <c r="C30" i="33" s="1"/>
  <c r="H29" i="33" s="1"/>
  <c r="C26" i="33"/>
  <c r="C23" i="33"/>
  <c r="C24" i="33" s="1"/>
  <c r="H23" i="33" s="1"/>
  <c r="C20" i="33"/>
  <c r="C21" i="33" s="1"/>
  <c r="H20" i="33" s="1"/>
  <c r="C27" i="33"/>
  <c r="H26" i="33" s="1"/>
  <c r="C29" i="32"/>
  <c r="C30" i="32" s="1"/>
  <c r="H29" i="32" s="1"/>
  <c r="C26" i="32"/>
  <c r="C27" i="32" s="1"/>
  <c r="H26" i="32" s="1"/>
  <c r="C23" i="32"/>
  <c r="C24" i="32" s="1"/>
  <c r="H23" i="32" s="1"/>
  <c r="C20" i="32"/>
  <c r="C21" i="32" s="1"/>
  <c r="H20" i="32" s="1"/>
  <c r="C29" i="31"/>
  <c r="C30" i="31" s="1"/>
  <c r="H29" i="31" s="1"/>
  <c r="C26" i="31"/>
  <c r="C27" i="31" s="1"/>
  <c r="H26" i="31" s="1"/>
  <c r="C23" i="31"/>
  <c r="C24" i="31" s="1"/>
  <c r="H23" i="31" s="1"/>
  <c r="C20" i="31"/>
  <c r="C21" i="31" s="1"/>
  <c r="H20" i="31" s="1"/>
  <c r="C29" i="30"/>
  <c r="C30" i="30" s="1"/>
  <c r="H29" i="30" s="1"/>
  <c r="C26" i="30"/>
  <c r="C27" i="30" s="1"/>
  <c r="H26" i="30" s="1"/>
  <c r="C23" i="30"/>
  <c r="C24" i="30" s="1"/>
  <c r="H23" i="30" s="1"/>
  <c r="C20" i="30"/>
  <c r="C21" i="30" s="1"/>
  <c r="H20" i="30" s="1"/>
  <c r="C29" i="29"/>
  <c r="C26" i="29"/>
  <c r="C23" i="29"/>
  <c r="C20" i="29"/>
  <c r="C29" i="28"/>
  <c r="C26" i="28"/>
  <c r="C23" i="28"/>
  <c r="C20" i="28"/>
  <c r="C29" i="27"/>
  <c r="C26" i="27"/>
  <c r="C23" i="27"/>
  <c r="C20" i="27"/>
  <c r="C29" i="26"/>
  <c r="C26" i="26"/>
  <c r="C23" i="26"/>
  <c r="C20" i="26"/>
  <c r="C29" i="25"/>
  <c r="C26" i="25"/>
  <c r="C23" i="25"/>
  <c r="C20" i="25"/>
  <c r="C29" i="24"/>
  <c r="C26" i="24"/>
  <c r="C23" i="24"/>
  <c r="C20" i="24"/>
  <c r="C29" i="23"/>
  <c r="C26" i="23"/>
  <c r="C23" i="23"/>
  <c r="C20" i="23"/>
  <c r="C29" i="1"/>
  <c r="C26" i="1"/>
  <c r="C23" i="1"/>
  <c r="C20" i="1"/>
  <c r="D3" i="36"/>
  <c r="D3" i="35"/>
  <c r="D3" i="34"/>
  <c r="D3" i="33"/>
  <c r="D3" i="32"/>
  <c r="D3" i="31"/>
  <c r="D3" i="30"/>
  <c r="D3" i="29"/>
  <c r="D3" i="28"/>
  <c r="D3" i="27"/>
  <c r="D3" i="26"/>
  <c r="D3" i="25"/>
  <c r="D3" i="24"/>
  <c r="D3" i="23"/>
  <c r="D3" i="1"/>
  <c r="C27" i="29" l="1"/>
  <c r="H26" i="29" s="1"/>
  <c r="C24" i="29"/>
  <c r="H23" i="29" s="1"/>
  <c r="C21" i="29"/>
  <c r="H20" i="29" s="1"/>
  <c r="C30" i="28"/>
  <c r="H29" i="28" s="1"/>
  <c r="C27" i="28"/>
  <c r="H26" i="28" s="1"/>
  <c r="C24" i="28"/>
  <c r="H23" i="28" s="1"/>
  <c r="C30" i="27"/>
  <c r="H29" i="27" s="1"/>
  <c r="C27" i="27"/>
  <c r="H26" i="27" s="1"/>
  <c r="C21" i="27"/>
  <c r="H20" i="27" s="1"/>
  <c r="C30" i="26"/>
  <c r="H29" i="26" s="1"/>
  <c r="C27" i="26"/>
  <c r="H26" i="26" s="1"/>
  <c r="C24" i="26"/>
  <c r="H23" i="26" s="1"/>
  <c r="C21" i="26"/>
  <c r="H20" i="26" s="1"/>
  <c r="C30" i="25"/>
  <c r="H29" i="25" s="1"/>
  <c r="C24" i="25"/>
  <c r="H23" i="25" s="1"/>
  <c r="C21" i="25"/>
  <c r="H20" i="25" s="1"/>
  <c r="C30" i="24"/>
  <c r="H29" i="24" s="1"/>
  <c r="C27" i="24"/>
  <c r="H26" i="24" s="1"/>
  <c r="C24" i="24"/>
  <c r="H23" i="24" s="1"/>
  <c r="C21" i="24"/>
  <c r="H20" i="24" s="1"/>
  <c r="C30" i="23"/>
  <c r="H29" i="23" s="1"/>
  <c r="C27" i="23"/>
  <c r="H26" i="23" s="1"/>
  <c r="C24" i="23"/>
  <c r="H23" i="23" s="1"/>
  <c r="C21" i="23"/>
  <c r="H20" i="23" s="1"/>
  <c r="H38" i="36"/>
  <c r="F38" i="36"/>
  <c r="I18" i="36"/>
  <c r="G18" i="36"/>
  <c r="I17" i="36"/>
  <c r="G17" i="36"/>
  <c r="I16" i="36"/>
  <c r="G16" i="36"/>
  <c r="I15" i="36"/>
  <c r="G15" i="36"/>
  <c r="D4" i="36"/>
  <c r="H38" i="35"/>
  <c r="F38" i="35"/>
  <c r="I18" i="35"/>
  <c r="G18" i="35"/>
  <c r="I17" i="35"/>
  <c r="G17" i="35"/>
  <c r="I16" i="35"/>
  <c r="G16" i="35"/>
  <c r="I15" i="35"/>
  <c r="G15" i="35"/>
  <c r="D4" i="35"/>
  <c r="H38" i="34"/>
  <c r="F38" i="34"/>
  <c r="I18" i="34"/>
  <c r="G18" i="34"/>
  <c r="I17" i="34"/>
  <c r="G17" i="34"/>
  <c r="I16" i="34"/>
  <c r="G16" i="34"/>
  <c r="I15" i="34"/>
  <c r="G15" i="34"/>
  <c r="D4" i="34"/>
  <c r="H38" i="33"/>
  <c r="F38" i="33"/>
  <c r="I18" i="33"/>
  <c r="G18" i="33"/>
  <c r="I17" i="33"/>
  <c r="G17" i="33"/>
  <c r="I16" i="33"/>
  <c r="G16" i="33"/>
  <c r="I15" i="33"/>
  <c r="G15" i="33"/>
  <c r="D4" i="33"/>
  <c r="H38" i="32"/>
  <c r="F38" i="32"/>
  <c r="I18" i="32"/>
  <c r="G18" i="32"/>
  <c r="I17" i="32"/>
  <c r="G17" i="32"/>
  <c r="I16" i="32"/>
  <c r="G16" i="32"/>
  <c r="I15" i="32"/>
  <c r="G15" i="32"/>
  <c r="D4" i="32"/>
  <c r="H38" i="31"/>
  <c r="F38" i="31"/>
  <c r="I18" i="31"/>
  <c r="G18" i="31"/>
  <c r="I17" i="31"/>
  <c r="G17" i="31"/>
  <c r="I16" i="31"/>
  <c r="G16" i="31"/>
  <c r="I15" i="31"/>
  <c r="G15" i="31"/>
  <c r="D4" i="31"/>
  <c r="H38" i="30"/>
  <c r="F38" i="30"/>
  <c r="I18" i="30"/>
  <c r="G18" i="30"/>
  <c r="I17" i="30"/>
  <c r="G17" i="30"/>
  <c r="I16" i="30"/>
  <c r="G16" i="30"/>
  <c r="I15" i="30"/>
  <c r="G15" i="30"/>
  <c r="D4" i="30"/>
  <c r="H38" i="29"/>
  <c r="F38" i="29"/>
  <c r="C30" i="29"/>
  <c r="H29" i="29" s="1"/>
  <c r="I18" i="29"/>
  <c r="G18" i="29"/>
  <c r="I17" i="29"/>
  <c r="G17" i="29"/>
  <c r="I16" i="29"/>
  <c r="G16" i="29"/>
  <c r="I15" i="29"/>
  <c r="G15" i="29"/>
  <c r="D4" i="29"/>
  <c r="H38" i="28"/>
  <c r="F38" i="28"/>
  <c r="C21" i="28"/>
  <c r="H20" i="28" s="1"/>
  <c r="I18" i="28"/>
  <c r="G18" i="28"/>
  <c r="I17" i="28"/>
  <c r="G17" i="28"/>
  <c r="I16" i="28"/>
  <c r="G16" i="28"/>
  <c r="I15" i="28"/>
  <c r="G15" i="28"/>
  <c r="D4" i="28"/>
  <c r="H38" i="27"/>
  <c r="F38" i="27"/>
  <c r="C24" i="27"/>
  <c r="H23" i="27" s="1"/>
  <c r="I18" i="27"/>
  <c r="G18" i="27"/>
  <c r="I17" i="27"/>
  <c r="G17" i="27"/>
  <c r="I16" i="27"/>
  <c r="G16" i="27"/>
  <c r="I15" i="27"/>
  <c r="G15" i="27"/>
  <c r="D4" i="27"/>
  <c r="H38" i="26"/>
  <c r="F38" i="26"/>
  <c r="I18" i="26"/>
  <c r="G18" i="26"/>
  <c r="I17" i="26"/>
  <c r="G17" i="26"/>
  <c r="I16" i="26"/>
  <c r="G16" i="26"/>
  <c r="I15" i="26"/>
  <c r="G15" i="26"/>
  <c r="D4" i="26"/>
  <c r="H38" i="25"/>
  <c r="F38" i="25"/>
  <c r="C27" i="25"/>
  <c r="H26" i="25" s="1"/>
  <c r="I18" i="25"/>
  <c r="G18" i="25"/>
  <c r="I17" i="25"/>
  <c r="G17" i="25"/>
  <c r="I16" i="25"/>
  <c r="G16" i="25"/>
  <c r="I15" i="25"/>
  <c r="G15" i="25"/>
  <c r="D4" i="25"/>
  <c r="H38" i="24"/>
  <c r="F38" i="24"/>
  <c r="I18" i="24"/>
  <c r="G18" i="24"/>
  <c r="I17" i="24"/>
  <c r="G17" i="24"/>
  <c r="I16" i="24"/>
  <c r="G16" i="24"/>
  <c r="I15" i="24"/>
  <c r="G15" i="24"/>
  <c r="D4" i="24"/>
  <c r="H38" i="23"/>
  <c r="F38" i="23"/>
  <c r="I18" i="23"/>
  <c r="G18" i="23"/>
  <c r="I17" i="23"/>
  <c r="G17" i="23"/>
  <c r="I16" i="23"/>
  <c r="G16" i="23"/>
  <c r="I15" i="23"/>
  <c r="G15" i="23"/>
  <c r="D4" i="23"/>
  <c r="D4" i="1"/>
  <c r="H38" i="1"/>
  <c r="F38" i="1"/>
  <c r="I18" i="1"/>
  <c r="I15" i="1"/>
  <c r="I16" i="1"/>
  <c r="I17" i="1"/>
  <c r="G18" i="1"/>
  <c r="G17" i="1"/>
  <c r="G16" i="1"/>
  <c r="G15" i="1"/>
  <c r="C30" i="1" l="1"/>
  <c r="H29" i="1" s="1"/>
  <c r="C27" i="1"/>
  <c r="H26" i="1" s="1"/>
  <c r="C24" i="1"/>
  <c r="H23" i="1" s="1"/>
  <c r="C21" i="1"/>
  <c r="H20" i="1" s="1"/>
</calcChain>
</file>

<file path=xl/sharedStrings.xml><?xml version="1.0" encoding="utf-8"?>
<sst xmlns="http://schemas.openxmlformats.org/spreadsheetml/2006/main" count="1263" uniqueCount="94">
  <si>
    <t>Unit Analisis Tradisional</t>
  </si>
  <si>
    <t>Laporan Ujian Pengesanan Logam Berat (ICPMS)</t>
  </si>
  <si>
    <t>No. Sampel</t>
  </si>
  <si>
    <t>Fail Analisis</t>
  </si>
  <si>
    <t>PARAMETER ANALISIS LOGAM As,Hg,Pb,Cd</t>
  </si>
  <si>
    <t xml:space="preserve">Equipment:    </t>
  </si>
  <si>
    <t>ICPMS Agilent 8800                    ICPMS Agilent 8900</t>
  </si>
  <si>
    <t xml:space="preserve">Calibration mode:   </t>
  </si>
  <si>
    <t>Linear Through Blank</t>
  </si>
  <si>
    <t xml:space="preserve">Instrument type:  </t>
  </si>
  <si>
    <t>ICPMS</t>
  </si>
  <si>
    <t>Element:</t>
  </si>
  <si>
    <t>As,Pb,Cd</t>
  </si>
  <si>
    <t>Hg</t>
  </si>
  <si>
    <t xml:space="preserve">Tune method:     </t>
  </si>
  <si>
    <t>Helium                                                                        Oxygen</t>
  </si>
  <si>
    <t xml:space="preserve">Standard 1: </t>
  </si>
  <si>
    <t>5 ppb</t>
  </si>
  <si>
    <t>1 ppb</t>
  </si>
  <si>
    <t xml:space="preserve">Plasma mode:       </t>
  </si>
  <si>
    <t>HMI (low)</t>
  </si>
  <si>
    <t xml:space="preserve">Standard 2:   </t>
  </si>
  <si>
    <t xml:space="preserve">25ppb </t>
  </si>
  <si>
    <t xml:space="preserve">5ppb </t>
  </si>
  <si>
    <t xml:space="preserve">Scan Type:        </t>
  </si>
  <si>
    <t xml:space="preserve">Single Quad (Q2)  Triple Quad (Q3)    </t>
  </si>
  <si>
    <t xml:space="preserve">Standard 3:    </t>
  </si>
  <si>
    <t xml:space="preserve">75ppb  </t>
  </si>
  <si>
    <t xml:space="preserve">15ppb  </t>
  </si>
  <si>
    <t>Concentration unit:</t>
  </si>
  <si>
    <t>ppb</t>
  </si>
  <si>
    <t xml:space="preserve">Standard 4:       </t>
  </si>
  <si>
    <t>150ppb</t>
  </si>
  <si>
    <t>30ppb</t>
  </si>
  <si>
    <t xml:space="preserve">Analysis method:  </t>
  </si>
  <si>
    <t>Full Quant</t>
  </si>
  <si>
    <t>Calibration Check Sol.:</t>
  </si>
  <si>
    <t>50ppb</t>
  </si>
  <si>
    <t>10ppb</t>
  </si>
  <si>
    <t xml:space="preserve">Analysis mode:    </t>
  </si>
  <si>
    <t xml:space="preserve">Spectrum   </t>
  </si>
  <si>
    <t>No Kelompok Piawai Rujukan</t>
  </si>
  <si>
    <t>Tarikh Luput:</t>
  </si>
  <si>
    <r>
      <rPr>
        <b/>
        <sz val="11"/>
        <color theme="1"/>
        <rFont val="Calibri"/>
        <family val="2"/>
      </rPr>
      <t>Nebulizer pump rate:</t>
    </r>
    <r>
      <rPr>
        <sz val="11"/>
        <color theme="1"/>
        <rFont val="Calibri"/>
        <family val="2"/>
      </rPr>
      <t xml:space="preserve">                                    </t>
    </r>
  </si>
  <si>
    <t xml:space="preserve">0.1 rps   </t>
  </si>
  <si>
    <t xml:space="preserve">Sampling mode:  </t>
  </si>
  <si>
    <t>Autosampler</t>
  </si>
  <si>
    <t>Keputusan Ujian As</t>
  </si>
  <si>
    <t>Keputusan sampel (ppb) = 1000</t>
  </si>
  <si>
    <t>÷</t>
  </si>
  <si>
    <t>Keputusan akhir :</t>
  </si>
  <si>
    <t>mg/kg</t>
  </si>
  <si>
    <t>=</t>
  </si>
  <si>
    <t>Keputusan Ujian Hg</t>
  </si>
  <si>
    <t>Keputusan Ujian Pb</t>
  </si>
  <si>
    <t>Keputusan Ujian Cd</t>
  </si>
  <si>
    <t>Keputusan Ujian:</t>
  </si>
  <si>
    <t>Catatan:</t>
  </si>
  <si>
    <t>LULUS</t>
  </si>
  <si>
    <t>TIDAK LULUS UJIAN_______________</t>
  </si>
  <si>
    <t>Tandatangan Penganalisa &amp; tarikh</t>
  </si>
  <si>
    <t>Tandatangan Penyemak &amp; tarikh</t>
  </si>
  <si>
    <t>Equipment</t>
  </si>
  <si>
    <t xml:space="preserve">ICPMS Agilent 8800                </t>
  </si>
  <si>
    <t>ICPMS Agilent 8900</t>
  </si>
  <si>
    <t>Tune method</t>
  </si>
  <si>
    <t>Helium</t>
  </si>
  <si>
    <t>Scan Type</t>
  </si>
  <si>
    <t xml:space="preserve">Single Quad (Q2)  </t>
  </si>
  <si>
    <t xml:space="preserve">Triple Quad (Q3)    </t>
  </si>
  <si>
    <t>As</t>
  </si>
  <si>
    <t>Pb</t>
  </si>
  <si>
    <t>As :</t>
  </si>
  <si>
    <t>Hg :</t>
  </si>
  <si>
    <t>Pb :</t>
  </si>
  <si>
    <t>Cd :</t>
  </si>
  <si>
    <t>No. Kelompok</t>
  </si>
  <si>
    <t>Tarikh Exp.</t>
  </si>
  <si>
    <t>Cd</t>
  </si>
  <si>
    <t>Nama dan tarikh</t>
  </si>
  <si>
    <t>Nama</t>
  </si>
  <si>
    <t>Tarikh</t>
  </si>
  <si>
    <t>Oxygen</t>
  </si>
  <si>
    <t>cd</t>
  </si>
  <si>
    <t>Bil</t>
  </si>
  <si>
    <t>No Sampel</t>
  </si>
  <si>
    <t>Elemen</t>
  </si>
  <si>
    <t>TATACARA UJIAN: PKKK/200/UAT/003</t>
  </si>
  <si>
    <t>HC 20925173 - 1</t>
  </si>
  <si>
    <t>HC 28845526 - 1</t>
  </si>
  <si>
    <t>HC 33253877 - 1</t>
  </si>
  <si>
    <t>HC 28959376 - 1</t>
  </si>
  <si>
    <t>AMIR / MAISARAH</t>
  </si>
  <si>
    <t>120225(2)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</si>
</sst>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"/>
    <numFmt numFmtId="165" formatCode="0.0000"/>
    <numFmt numFmtId="166" formatCode="0.00000"/>
    <numFmt numFmtId="167" formatCode="[$-14409]dd/mm/yyyy;@"/>
  </numFmts>
  <fonts count="18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</font>
    <font>
      <sz val="11"/>
      <name val="Calibri"/>
      <family val="2"/>
    </font>
    <font>
      <sz val="11"/>
      <color theme="1"/>
      <name val="Calibri"/>
      <family val="2"/>
    </font>
    <font>
      <b/>
      <sz val="10"/>
      <color theme="1"/>
      <name val="Calibri"/>
      <family val="2"/>
    </font>
    <font>
      <sz val="8"/>
      <color theme="1"/>
      <name val="Calibri"/>
      <family val="2"/>
    </font>
    <font>
      <sz val="11"/>
      <color theme="1"/>
      <name val="Calibri"/>
      <family val="2"/>
    </font>
    <font>
      <b/>
      <sz val="10"/>
      <color theme="1"/>
      <name val="Calibri"/>
      <family val="2"/>
    </font>
    <font>
      <sz val="11"/>
      <name val="Calibri"/>
      <family val="2"/>
    </font>
    <font>
      <b/>
      <sz val="11"/>
      <color theme="1"/>
      <name val="Calibri"/>
      <family val="2"/>
    </font>
    <font>
      <sz val="11"/>
      <color theme="0"/>
      <name val="Calibri"/>
      <family val="2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D8D8D8"/>
        <bgColor rgb="FFD8D8D8"/>
      </patternFill>
    </fill>
    <fill>
      <patternFill patternType="solid">
        <fgColor rgb="FFBFBFBF"/>
        <bgColor rgb="FFBFBFBF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8" tint="0.39997558519241921"/>
        <bgColor indexed="64"/>
      </patternFill>
    </fill>
  </fills>
  <borders count="39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1">
    <xf numFmtId="0" fontId="0" fillId="0" borderId="0"/>
  </cellStyleXfs>
  <cellXfs count="155">
    <xf numFmtId="0" fontId="0" fillId="0" borderId="0" xfId="0" applyFont="1" applyAlignment="1"/>
    <xf numFmtId="0" fontId="8" fillId="0" borderId="0" xfId="0" applyFont="1"/>
    <xf numFmtId="0" fontId="6" fillId="0" borderId="0" xfId="0" applyFont="1" applyAlignment="1">
      <alignment vertical="center" wrapText="1"/>
    </xf>
    <xf numFmtId="0" fontId="6" fillId="0" borderId="7" xfId="0" applyFont="1" applyBorder="1" applyAlignment="1">
      <alignment vertical="center" wrapText="1"/>
    </xf>
    <xf numFmtId="1" fontId="8" fillId="0" borderId="0" xfId="0" applyNumberFormat="1" applyFont="1" applyAlignment="1">
      <alignment horizontal="center" wrapText="1"/>
    </xf>
    <xf numFmtId="0" fontId="6" fillId="0" borderId="0" xfId="0" applyFont="1" applyAlignment="1">
      <alignment horizontal="left" vertical="center" wrapText="1"/>
    </xf>
    <xf numFmtId="0" fontId="6" fillId="0" borderId="0" xfId="0" applyFont="1" applyAlignment="1">
      <alignment horizontal="center" vertical="center" wrapText="1"/>
    </xf>
    <xf numFmtId="1" fontId="8" fillId="0" borderId="0" xfId="0" applyNumberFormat="1" applyFont="1" applyAlignment="1">
      <alignment wrapText="1"/>
    </xf>
    <xf numFmtId="0" fontId="8" fillId="0" borderId="0" xfId="0" applyFont="1" applyAlignment="1">
      <alignment horizontal="center" vertical="center" wrapText="1"/>
    </xf>
    <xf numFmtId="1" fontId="9" fillId="0" borderId="0" xfId="0" applyNumberFormat="1" applyFont="1" applyAlignment="1">
      <alignment wrapText="1"/>
    </xf>
    <xf numFmtId="1" fontId="10" fillId="0" borderId="8" xfId="0" applyNumberFormat="1" applyFont="1" applyBorder="1" applyAlignment="1">
      <alignment vertical="top" wrapText="1"/>
    </xf>
    <xf numFmtId="0" fontId="9" fillId="0" borderId="0" xfId="0" applyFont="1" applyAlignment="1">
      <alignment wrapText="1"/>
    </xf>
    <xf numFmtId="0" fontId="9" fillId="0" borderId="8" xfId="0" applyFont="1" applyBorder="1" applyAlignment="1">
      <alignment wrapText="1"/>
    </xf>
    <xf numFmtId="0" fontId="8" fillId="0" borderId="0" xfId="0" applyFont="1" applyAlignment="1">
      <alignment horizontal="left" vertical="center" wrapText="1"/>
    </xf>
    <xf numFmtId="0" fontId="6" fillId="0" borderId="7" xfId="0" applyFont="1" applyBorder="1" applyAlignment="1">
      <alignment horizontal="center" wrapText="1"/>
    </xf>
    <xf numFmtId="0" fontId="6" fillId="0" borderId="0" xfId="0" applyFont="1" applyAlignment="1">
      <alignment horizontal="center" wrapText="1"/>
    </xf>
    <xf numFmtId="0" fontId="8" fillId="0" borderId="8" xfId="0" applyFont="1" applyBorder="1"/>
    <xf numFmtId="0" fontId="8" fillId="0" borderId="5" xfId="0" applyFont="1" applyBorder="1" applyAlignment="1">
      <alignment wrapText="1"/>
    </xf>
    <xf numFmtId="0" fontId="6" fillId="0" borderId="4" xfId="0" applyFont="1" applyBorder="1" applyAlignment="1">
      <alignment wrapText="1"/>
    </xf>
    <xf numFmtId="0" fontId="8" fillId="0" borderId="6" xfId="0" applyFont="1" applyBorder="1" applyAlignment="1">
      <alignment wrapText="1"/>
    </xf>
    <xf numFmtId="0" fontId="8" fillId="0" borderId="7" xfId="0" applyFont="1" applyBorder="1" applyAlignment="1">
      <alignment vertical="center" wrapText="1"/>
    </xf>
    <xf numFmtId="0" fontId="8" fillId="0" borderId="0" xfId="0" applyFont="1" applyAlignment="1">
      <alignment horizontal="center" vertical="top" wrapText="1"/>
    </xf>
    <xf numFmtId="0" fontId="8" fillId="0" borderId="7" xfId="0" applyFont="1" applyBorder="1" applyAlignment="1">
      <alignment wrapText="1"/>
    </xf>
    <xf numFmtId="0" fontId="8" fillId="0" borderId="5" xfId="0" applyFont="1" applyBorder="1"/>
    <xf numFmtId="0" fontId="8" fillId="0" borderId="11" xfId="0" applyFont="1" applyBorder="1"/>
    <xf numFmtId="0" fontId="8" fillId="0" borderId="9" xfId="0" applyFont="1" applyBorder="1"/>
    <xf numFmtId="0" fontId="8" fillId="0" borderId="10" xfId="0" applyFont="1" applyBorder="1"/>
    <xf numFmtId="0" fontId="8" fillId="0" borderId="4" xfId="0" applyFont="1" applyBorder="1"/>
    <xf numFmtId="0" fontId="8" fillId="0" borderId="0" xfId="0" applyFont="1" applyAlignment="1">
      <alignment wrapText="1"/>
    </xf>
    <xf numFmtId="164" fontId="11" fillId="4" borderId="0" xfId="0" applyNumberFormat="1" applyFont="1" applyFill="1"/>
    <xf numFmtId="164" fontId="11" fillId="0" borderId="0" xfId="0" applyNumberFormat="1" applyFont="1" applyAlignment="1">
      <alignment horizontal="center"/>
    </xf>
    <xf numFmtId="1" fontId="11" fillId="0" borderId="8" xfId="0" applyNumberFormat="1" applyFont="1" applyBorder="1" applyAlignment="1">
      <alignment horizontal="center"/>
    </xf>
    <xf numFmtId="0" fontId="11" fillId="0" borderId="8" xfId="0" applyFont="1" applyBorder="1"/>
    <xf numFmtId="0" fontId="11" fillId="0" borderId="7" xfId="0" applyFont="1" applyBorder="1" applyAlignment="1">
      <alignment horizontal="right" wrapText="1"/>
    </xf>
    <xf numFmtId="0" fontId="11" fillId="0" borderId="0" xfId="0" applyFont="1"/>
    <xf numFmtId="166" fontId="15" fillId="0" borderId="8" xfId="0" applyNumberFormat="1" applyFont="1" applyBorder="1"/>
    <xf numFmtId="1" fontId="11" fillId="0" borderId="8" xfId="0" applyNumberFormat="1" applyFont="1" applyBorder="1" applyAlignment="1">
      <alignment horizontal="center" vertical="center"/>
    </xf>
    <xf numFmtId="0" fontId="11" fillId="0" borderId="6" xfId="0" applyFont="1" applyBorder="1"/>
    <xf numFmtId="0" fontId="6" fillId="0" borderId="0" xfId="0" applyFont="1" applyAlignment="1">
      <alignment horizontal="left" vertical="center" wrapText="1"/>
    </xf>
    <xf numFmtId="0" fontId="0" fillId="0" borderId="0" xfId="0" applyFont="1" applyAlignment="1"/>
    <xf numFmtId="0" fontId="6" fillId="0" borderId="7" xfId="0" applyFont="1" applyBorder="1" applyAlignment="1">
      <alignment vertical="center" wrapText="1"/>
    </xf>
    <xf numFmtId="0" fontId="8" fillId="0" borderId="0" xfId="0" applyFont="1" applyAlignment="1">
      <alignment horizontal="left" vertical="center" wrapText="1"/>
    </xf>
    <xf numFmtId="0" fontId="6" fillId="0" borderId="0" xfId="0" applyFont="1" applyAlignment="1">
      <alignment vertical="center" wrapText="1"/>
    </xf>
    <xf numFmtId="0" fontId="11" fillId="0" borderId="0" xfId="0" applyFont="1" applyAlignment="1">
      <alignment horizontal="center" vertical="center" wrapText="1"/>
    </xf>
    <xf numFmtId="1" fontId="11" fillId="0" borderId="0" xfId="0" applyNumberFormat="1" applyFont="1" applyAlignment="1">
      <alignment horizontal="center" wrapText="1"/>
    </xf>
    <xf numFmtId="1" fontId="11" fillId="0" borderId="9" xfId="0" applyNumberFormat="1" applyFont="1" applyBorder="1" applyAlignment="1">
      <alignment horizontal="center" wrapText="1"/>
    </xf>
    <xf numFmtId="0" fontId="0" fillId="0" borderId="12" xfId="0" applyFont="1" applyBorder="1" applyAlignment="1"/>
    <xf numFmtId="0" fontId="0" fillId="0" borderId="23" xfId="0" applyFont="1" applyBorder="1" applyAlignment="1"/>
    <xf numFmtId="0" fontId="0" fillId="0" borderId="21" xfId="0" applyFont="1" applyBorder="1" applyAlignment="1"/>
    <xf numFmtId="0" fontId="5" fillId="0" borderId="22" xfId="0" applyFont="1" applyBorder="1" applyAlignment="1">
      <alignment horizontal="left"/>
    </xf>
    <xf numFmtId="14" fontId="0" fillId="0" borderId="15" xfId="0" applyNumberFormat="1" applyFont="1" applyBorder="1" applyAlignment="1">
      <alignment horizontal="center"/>
    </xf>
    <xf numFmtId="14" fontId="0" fillId="0" borderId="18" xfId="0" applyNumberFormat="1" applyFont="1" applyBorder="1" applyAlignment="1">
      <alignment horizontal="center"/>
    </xf>
    <xf numFmtId="0" fontId="0" fillId="0" borderId="25" xfId="0" applyFont="1" applyBorder="1" applyAlignment="1"/>
    <xf numFmtId="0" fontId="0" fillId="0" borderId="26" xfId="0" applyFont="1" applyBorder="1" applyAlignment="1"/>
    <xf numFmtId="0" fontId="5" fillId="0" borderId="28" xfId="0" applyFont="1" applyBorder="1" applyAlignment="1">
      <alignment horizontal="left"/>
    </xf>
    <xf numFmtId="0" fontId="0" fillId="0" borderId="29" xfId="0" applyFont="1" applyBorder="1" applyAlignment="1"/>
    <xf numFmtId="14" fontId="0" fillId="0" borderId="31" xfId="0" applyNumberFormat="1" applyFont="1" applyBorder="1" applyAlignment="1"/>
    <xf numFmtId="0" fontId="5" fillId="0" borderId="28" xfId="0" applyFont="1" applyBorder="1" applyAlignment="1"/>
    <xf numFmtId="0" fontId="0" fillId="0" borderId="27" xfId="0" applyFont="1" applyBorder="1" applyAlignment="1"/>
    <xf numFmtId="0" fontId="0" fillId="0" borderId="33" xfId="0" applyFont="1" applyBorder="1" applyAlignment="1"/>
    <xf numFmtId="0" fontId="17" fillId="0" borderId="0" xfId="0" applyFont="1" applyFill="1" applyAlignment="1"/>
    <xf numFmtId="0" fontId="0" fillId="0" borderId="0" xfId="0" applyFont="1" applyFill="1" applyAlignment="1"/>
    <xf numFmtId="0" fontId="0" fillId="0" borderId="0" xfId="0" applyFont="1" applyAlignment="1">
      <alignment horizontal="center"/>
    </xf>
    <xf numFmtId="0" fontId="0" fillId="0" borderId="36" xfId="0" applyFont="1" applyBorder="1" applyAlignment="1">
      <alignment horizontal="center"/>
    </xf>
    <xf numFmtId="0" fontId="0" fillId="0" borderId="12" xfId="0" applyFont="1" applyBorder="1" applyAlignment="1">
      <alignment horizontal="center"/>
    </xf>
    <xf numFmtId="164" fontId="0" fillId="0" borderId="0" xfId="0" applyNumberFormat="1" applyFont="1" applyAlignment="1"/>
    <xf numFmtId="164" fontId="0" fillId="4" borderId="37" xfId="0" applyNumberFormat="1" applyFont="1" applyFill="1" applyBorder="1" applyAlignment="1">
      <alignment horizontal="center" vertical="center"/>
    </xf>
    <xf numFmtId="164" fontId="0" fillId="5" borderId="37" xfId="0" applyNumberFormat="1" applyFont="1" applyFill="1" applyBorder="1" applyAlignment="1">
      <alignment horizontal="center" vertical="center"/>
    </xf>
    <xf numFmtId="164" fontId="0" fillId="6" borderId="37" xfId="0" applyNumberFormat="1" applyFont="1" applyFill="1" applyBorder="1" applyAlignment="1">
      <alignment horizontal="center" vertical="center"/>
    </xf>
    <xf numFmtId="164" fontId="0" fillId="7" borderId="37" xfId="0" applyNumberFormat="1" applyFont="1" applyFill="1" applyBorder="1" applyAlignment="1">
      <alignment horizontal="center" vertical="center"/>
    </xf>
    <xf numFmtId="164" fontId="0" fillId="0" borderId="12" xfId="0" applyNumberFormat="1" applyFont="1" applyBorder="1" applyAlignment="1"/>
    <xf numFmtId="0" fontId="0" fillId="0" borderId="0" xfId="0" applyFont="1" applyAlignment="1"/>
    <xf numFmtId="0" fontId="16" fillId="8" borderId="20" xfId="0" applyFont="1" applyFill="1" applyBorder="1" applyAlignment="1"/>
    <xf numFmtId="0" fontId="16" fillId="8" borderId="19" xfId="0" applyFont="1" applyFill="1" applyBorder="1" applyAlignment="1">
      <alignment horizontal="left"/>
    </xf>
    <xf numFmtId="0" fontId="5" fillId="4" borderId="14" xfId="0" applyFont="1" applyFill="1" applyBorder="1" applyAlignment="1">
      <alignment horizontal="center"/>
    </xf>
    <xf numFmtId="0" fontId="4" fillId="6" borderId="14" xfId="0" applyFont="1" applyFill="1" applyBorder="1" applyAlignment="1">
      <alignment horizontal="center"/>
    </xf>
    <xf numFmtId="0" fontId="4" fillId="7" borderId="14" xfId="0" applyFont="1" applyFill="1" applyBorder="1" applyAlignment="1">
      <alignment horizontal="center"/>
    </xf>
    <xf numFmtId="0" fontId="4" fillId="5" borderId="16" xfId="0" applyFont="1" applyFill="1" applyBorder="1" applyAlignment="1">
      <alignment horizontal="center"/>
    </xf>
    <xf numFmtId="0" fontId="5" fillId="0" borderId="21" xfId="0" applyFont="1" applyBorder="1" applyAlignment="1"/>
    <xf numFmtId="0" fontId="0" fillId="0" borderId="38" xfId="0" applyFont="1" applyBorder="1" applyAlignment="1"/>
    <xf numFmtId="0" fontId="3" fillId="0" borderId="12" xfId="0" applyFont="1" applyBorder="1" applyAlignment="1"/>
    <xf numFmtId="0" fontId="3" fillId="0" borderId="17" xfId="0" applyFont="1" applyBorder="1" applyAlignment="1"/>
    <xf numFmtId="0" fontId="2" fillId="0" borderId="30" xfId="0" applyFont="1" applyBorder="1" applyAlignment="1"/>
    <xf numFmtId="164" fontId="0" fillId="8" borderId="12" xfId="0" applyNumberFormat="1" applyFont="1" applyFill="1" applyBorder="1" applyAlignment="1">
      <alignment horizontal="center" vertical="center"/>
    </xf>
    <xf numFmtId="0" fontId="0" fillId="8" borderId="12" xfId="0" applyFont="1" applyFill="1" applyBorder="1" applyAlignment="1">
      <alignment horizontal="center" vertical="center"/>
    </xf>
    <xf numFmtId="0" fontId="0" fillId="8" borderId="37" xfId="0" applyFont="1" applyFill="1" applyBorder="1" applyAlignment="1">
      <alignment horizontal="center" vertical="center"/>
    </xf>
    <xf numFmtId="0" fontId="16" fillId="8" borderId="13" xfId="0" applyFont="1" applyFill="1" applyBorder="1" applyAlignment="1">
      <alignment horizontal="center" vertical="center"/>
    </xf>
    <xf numFmtId="0" fontId="16" fillId="8" borderId="14" xfId="0" applyFont="1" applyFill="1" applyBorder="1" applyAlignment="1">
      <alignment horizontal="center" vertical="center"/>
    </xf>
    <xf numFmtId="0" fontId="16" fillId="8" borderId="34" xfId="0" applyFont="1" applyFill="1" applyBorder="1" applyAlignment="1">
      <alignment horizontal="center" vertical="center"/>
    </xf>
    <xf numFmtId="0" fontId="16" fillId="8" borderId="30" xfId="0" applyFont="1" applyFill="1" applyBorder="1" applyAlignment="1">
      <alignment horizontal="center" vertical="center"/>
    </xf>
    <xf numFmtId="0" fontId="16" fillId="8" borderId="35" xfId="0" applyFont="1" applyFill="1" applyBorder="1" applyAlignment="1">
      <alignment horizontal="center" vertical="center"/>
    </xf>
    <xf numFmtId="0" fontId="16" fillId="8" borderId="24" xfId="0" applyFont="1" applyFill="1" applyBorder="1" applyAlignment="1">
      <alignment horizontal="center" vertical="center"/>
    </xf>
    <xf numFmtId="0" fontId="16" fillId="8" borderId="12" xfId="0" applyFont="1" applyFill="1" applyBorder="1" applyAlignment="1">
      <alignment horizontal="center"/>
    </xf>
    <xf numFmtId="167" fontId="12" fillId="0" borderId="0" xfId="0" applyNumberFormat="1" applyFont="1" applyAlignment="1">
      <alignment horizontal="center" wrapText="1"/>
    </xf>
    <xf numFmtId="167" fontId="12" fillId="0" borderId="8" xfId="0" applyNumberFormat="1" applyFont="1" applyBorder="1" applyAlignment="1">
      <alignment horizontal="center" wrapText="1"/>
    </xf>
    <xf numFmtId="167" fontId="12" fillId="0" borderId="9" xfId="0" applyNumberFormat="1" applyFont="1" applyBorder="1" applyAlignment="1">
      <alignment horizontal="center" wrapText="1"/>
    </xf>
    <xf numFmtId="167" fontId="12" fillId="0" borderId="10" xfId="0" applyNumberFormat="1" applyFont="1" applyBorder="1" applyAlignment="1">
      <alignment horizontal="center" wrapText="1"/>
    </xf>
    <xf numFmtId="0" fontId="6" fillId="3" borderId="1" xfId="0" applyFont="1" applyFill="1" applyBorder="1" applyAlignment="1">
      <alignment horizontal="center"/>
    </xf>
    <xf numFmtId="0" fontId="6" fillId="3" borderId="2" xfId="0" applyFont="1" applyFill="1" applyBorder="1" applyAlignment="1">
      <alignment horizontal="center"/>
    </xf>
    <xf numFmtId="0" fontId="6" fillId="3" borderId="3" xfId="0" applyFont="1" applyFill="1" applyBorder="1" applyAlignment="1">
      <alignment horizontal="center"/>
    </xf>
    <xf numFmtId="0" fontId="13" fillId="0" borderId="9" xfId="0" applyFont="1" applyBorder="1" applyAlignment="1">
      <alignment horizontal="center"/>
    </xf>
    <xf numFmtId="0" fontId="0" fillId="0" borderId="0" xfId="0" applyFont="1" applyAlignment="1">
      <alignment horizontal="center"/>
    </xf>
    <xf numFmtId="0" fontId="12" fillId="0" borderId="4" xfId="0" applyFont="1" applyBorder="1" applyAlignment="1">
      <alignment horizontal="center" vertical="top" wrapText="1"/>
    </xf>
    <xf numFmtId="0" fontId="13" fillId="0" borderId="5" xfId="0" applyFont="1" applyBorder="1"/>
    <xf numFmtId="0" fontId="11" fillId="0" borderId="4" xfId="0" applyFont="1" applyBorder="1" applyAlignment="1">
      <alignment horizontal="center"/>
    </xf>
    <xf numFmtId="2" fontId="11" fillId="0" borderId="2" xfId="0" applyNumberFormat="1" applyFont="1" applyBorder="1" applyAlignment="1">
      <alignment horizontal="center"/>
    </xf>
    <xf numFmtId="0" fontId="13" fillId="0" borderId="2" xfId="0" applyFont="1" applyBorder="1"/>
    <xf numFmtId="165" fontId="14" fillId="0" borderId="1" xfId="0" applyNumberFormat="1" applyFont="1" applyBorder="1" applyAlignment="1">
      <alignment horizontal="center"/>
    </xf>
    <xf numFmtId="0" fontId="13" fillId="0" borderId="3" xfId="0" applyFont="1" applyBorder="1"/>
    <xf numFmtId="0" fontId="14" fillId="3" borderId="1" xfId="0" applyFont="1" applyFill="1" applyBorder="1" applyAlignment="1">
      <alignment horizontal="center"/>
    </xf>
    <xf numFmtId="0" fontId="14" fillId="3" borderId="2" xfId="0" applyFont="1" applyFill="1" applyBorder="1" applyAlignment="1">
      <alignment horizontal="center"/>
    </xf>
    <xf numFmtId="0" fontId="14" fillId="3" borderId="3" xfId="0" applyFont="1" applyFill="1" applyBorder="1" applyAlignment="1">
      <alignment horizontal="center"/>
    </xf>
    <xf numFmtId="0" fontId="12" fillId="0" borderId="7" xfId="0" applyFont="1" applyBorder="1" applyAlignment="1">
      <alignment horizontal="center" vertical="top" wrapText="1"/>
    </xf>
    <xf numFmtId="0" fontId="0" fillId="0" borderId="0" xfId="0" applyFont="1" applyAlignment="1"/>
    <xf numFmtId="0" fontId="11" fillId="0" borderId="5" xfId="0" applyFont="1" applyBorder="1" applyAlignment="1">
      <alignment horizontal="center"/>
    </xf>
    <xf numFmtId="165" fontId="14" fillId="0" borderId="4" xfId="0" applyNumberFormat="1" applyFont="1" applyBorder="1" applyAlignment="1">
      <alignment horizontal="center"/>
    </xf>
    <xf numFmtId="0" fontId="13" fillId="0" borderId="6" xfId="0" applyFont="1" applyBorder="1"/>
    <xf numFmtId="0" fontId="11" fillId="0" borderId="0" xfId="0" applyFont="1" applyAlignment="1">
      <alignment horizontal="center"/>
    </xf>
    <xf numFmtId="0" fontId="8" fillId="0" borderId="5" xfId="0" applyFont="1" applyBorder="1" applyAlignment="1">
      <alignment horizontal="left" vertical="center" wrapText="1"/>
    </xf>
    <xf numFmtId="0" fontId="7" fillId="0" borderId="5" xfId="0" applyFont="1" applyBorder="1"/>
    <xf numFmtId="0" fontId="7" fillId="0" borderId="6" xfId="0" applyFont="1" applyBorder="1"/>
    <xf numFmtId="1" fontId="9" fillId="0" borderId="0" xfId="0" applyNumberFormat="1" applyFont="1" applyAlignment="1">
      <alignment horizontal="center" wrapText="1"/>
    </xf>
    <xf numFmtId="0" fontId="7" fillId="0" borderId="8" xfId="0" applyFont="1" applyBorder="1"/>
    <xf numFmtId="0" fontId="6" fillId="0" borderId="1" xfId="0" applyFont="1" applyBorder="1" applyAlignment="1">
      <alignment horizontal="center"/>
    </xf>
    <xf numFmtId="0" fontId="7" fillId="0" borderId="2" xfId="0" applyFont="1" applyBorder="1"/>
    <xf numFmtId="0" fontId="7" fillId="0" borderId="3" xfId="0" applyFont="1" applyBorder="1"/>
    <xf numFmtId="0" fontId="6" fillId="0" borderId="1" xfId="0" applyFont="1" applyBorder="1" applyAlignment="1">
      <alignment horizontal="left" wrapText="1"/>
    </xf>
    <xf numFmtId="1" fontId="8" fillId="2" borderId="1" xfId="0" applyNumberFormat="1" applyFont="1" applyFill="1" applyBorder="1" applyAlignment="1">
      <alignment horizontal="center" wrapText="1"/>
    </xf>
    <xf numFmtId="0" fontId="6" fillId="0" borderId="1" xfId="0" applyFont="1" applyBorder="1" applyAlignment="1">
      <alignment horizontal="center" wrapText="1"/>
    </xf>
    <xf numFmtId="0" fontId="14" fillId="0" borderId="4" xfId="0" applyFont="1" applyBorder="1" applyAlignment="1">
      <alignment vertical="center" wrapText="1"/>
    </xf>
    <xf numFmtId="0" fontId="11" fillId="0" borderId="5" xfId="0" applyFont="1" applyBorder="1" applyAlignment="1">
      <alignment vertical="center" wrapText="1"/>
    </xf>
    <xf numFmtId="0" fontId="6" fillId="0" borderId="7" xfId="0" applyFont="1" applyBorder="1" applyAlignment="1">
      <alignment vertical="center" wrapText="1"/>
    </xf>
    <xf numFmtId="0" fontId="8" fillId="0" borderId="0" xfId="0" applyFont="1" applyAlignment="1">
      <alignment vertical="center" wrapText="1"/>
    </xf>
    <xf numFmtId="0" fontId="14" fillId="0" borderId="7" xfId="0" applyFont="1" applyBorder="1" applyAlignment="1">
      <alignment vertical="center" wrapText="1"/>
    </xf>
    <xf numFmtId="0" fontId="14" fillId="0" borderId="0" xfId="0" applyFont="1" applyAlignment="1">
      <alignment vertical="center" wrapText="1"/>
    </xf>
    <xf numFmtId="0" fontId="9" fillId="0" borderId="0" xfId="0" applyFont="1" applyAlignment="1">
      <alignment horizontal="left" wrapText="1"/>
    </xf>
    <xf numFmtId="0" fontId="11" fillId="0" borderId="0" xfId="0" applyFont="1" applyAlignment="1">
      <alignment vertical="center" wrapText="1"/>
    </xf>
    <xf numFmtId="0" fontId="8" fillId="0" borderId="0" xfId="0" applyFont="1" applyAlignment="1">
      <alignment horizontal="left" vertical="center" wrapText="1"/>
    </xf>
    <xf numFmtId="0" fontId="11" fillId="0" borderId="0" xfId="0" applyFont="1" applyAlignment="1">
      <alignment horizontal="center" vertical="center" wrapText="1"/>
    </xf>
    <xf numFmtId="49" fontId="8" fillId="0" borderId="4" xfId="0" applyNumberFormat="1" applyFont="1" applyBorder="1" applyAlignment="1">
      <alignment horizontal="center" vertical="center" shrinkToFit="1"/>
    </xf>
    <xf numFmtId="49" fontId="8" fillId="0" borderId="5" xfId="0" applyNumberFormat="1" applyFont="1" applyBorder="1" applyAlignment="1">
      <alignment horizontal="center" vertical="center" shrinkToFit="1"/>
    </xf>
    <xf numFmtId="49" fontId="8" fillId="0" borderId="11" xfId="0" applyNumberFormat="1" applyFont="1" applyBorder="1" applyAlignment="1">
      <alignment horizontal="center" vertical="center" shrinkToFit="1"/>
    </xf>
    <xf numFmtId="49" fontId="8" fillId="0" borderId="9" xfId="0" applyNumberFormat="1" applyFont="1" applyBorder="1" applyAlignment="1">
      <alignment horizontal="center" vertical="center" shrinkToFit="1"/>
    </xf>
    <xf numFmtId="167" fontId="8" fillId="0" borderId="5" xfId="0" applyNumberFormat="1" applyFont="1" applyBorder="1" applyAlignment="1">
      <alignment horizontal="center" vertical="center"/>
    </xf>
    <xf numFmtId="167" fontId="8" fillId="0" borderId="6" xfId="0" applyNumberFormat="1" applyFont="1" applyBorder="1" applyAlignment="1">
      <alignment horizontal="center" vertical="center"/>
    </xf>
    <xf numFmtId="167" fontId="8" fillId="0" borderId="9" xfId="0" applyNumberFormat="1" applyFont="1" applyBorder="1" applyAlignment="1">
      <alignment horizontal="center" vertical="center"/>
    </xf>
    <xf numFmtId="167" fontId="8" fillId="0" borderId="10" xfId="0" applyNumberFormat="1" applyFont="1" applyBorder="1" applyAlignment="1">
      <alignment horizontal="center" vertical="center"/>
    </xf>
    <xf numFmtId="0" fontId="6" fillId="0" borderId="4" xfId="0" applyFont="1" applyBorder="1" applyAlignment="1">
      <alignment horizontal="center" vertical="center" wrapText="1"/>
    </xf>
    <xf numFmtId="0" fontId="7" fillId="0" borderId="11" xfId="0" applyFont="1" applyBorder="1"/>
    <xf numFmtId="0" fontId="7" fillId="0" borderId="9" xfId="0" applyFont="1" applyBorder="1"/>
    <xf numFmtId="0" fontId="6" fillId="0" borderId="4" xfId="0" applyFont="1" applyBorder="1" applyAlignment="1">
      <alignment horizontal="left" wrapText="1"/>
    </xf>
    <xf numFmtId="0" fontId="6" fillId="0" borderId="0" xfId="0" applyFont="1" applyAlignment="1">
      <alignment horizontal="left" vertical="center" wrapText="1"/>
    </xf>
    <xf numFmtId="0" fontId="6" fillId="0" borderId="4" xfId="0" applyFont="1" applyBorder="1" applyAlignment="1">
      <alignment horizontal="center" vertical="center"/>
    </xf>
    <xf numFmtId="0" fontId="7" fillId="0" borderId="10" xfId="0" applyFont="1" applyBorder="1"/>
    <xf numFmtId="49" fontId="1" fillId="0" borderId="32" xfId="0" applyNumberFormat="1" applyFont="1" applyBorder="1" applyAlignment="1"/>
  </cellXfs>
  <cellStyles count="1">
    <cellStyle name="Normal" xfId="0" builtinId="0"/>
  </cellStyles>
  <dxfs count="23">
    <dxf>
      <fill>
        <patternFill>
          <bgColor theme="9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fgColor auto="1"/>
          <bgColor theme="0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fgColor auto="1"/>
          <bgColor theme="0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fgColor auto="1"/>
          <bgColor theme="0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fgColor auto="1"/>
          <bgColor theme="0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fgColor auto="1"/>
          <bgColor theme="0" tint="-0.34998626667073579"/>
        </patternFill>
      </fill>
    </dxf>
    <dxf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fgColor auto="1"/>
          <bgColor theme="0" tint="-0.34998626667073579"/>
        </patternFill>
      </fill>
    </dxf>
    <dxf>
      <fill>
        <patternFill>
          <bgColor theme="9" tint="0.59996337778862885"/>
        </patternFill>
      </fill>
    </dxf>
  </dxfs>
  <tableStyles count="0" defaultTableStyle="TableStyleMedium2" defaultPivotStyle="PivotStyleLight16"/>
  <colors>
    <mruColors>
      <color rgb="FFFF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customschemas.google.com/relationships/workbookmetadata" Target="metadata"/><Relationship Id="rId27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CheckBox" fmlaLink="FormSampel!$B$4" lockText="1" noThreeD="1"/>
</file>

<file path=xl/ctrlProps/ctrlProp2.xml><?xml version="1.0" encoding="utf-8"?>
<formControlPr xmlns="http://schemas.microsoft.com/office/spreadsheetml/2009/9/main" objectType="CheckBox" checked="Checked" fmlaLink="FormSampel!$B$5" lockText="1" noThreeD="1"/>
</file>

<file path=xl/ctrlProps/ctrlProp3.xml><?xml version="1.0" encoding="utf-8"?>
<formControlPr xmlns="http://schemas.microsoft.com/office/spreadsheetml/2009/9/main" objectType="CheckBox" fmlaLink="FormSampel!$B$8" lockText="1" noThreeD="1"/>
</file>

<file path=xl/ctrlProps/ctrlProp4.xml><?xml version="1.0" encoding="utf-8"?>
<formControlPr xmlns="http://schemas.microsoft.com/office/spreadsheetml/2009/9/main" objectType="CheckBox" checked="Checked" fmlaLink="FormSampel!$B$7" lockText="1" noThreeD="1"/>
</file>

<file path=xl/ctrlProps/ctrlProp5.xml><?xml version="1.0" encoding="utf-8"?>
<formControlPr xmlns="http://schemas.microsoft.com/office/spreadsheetml/2009/9/main" objectType="CheckBox" fmlaLink="FormSampel!$B$11" lockText="1" noThreeD="1"/>
</file>

<file path=xl/ctrlProps/ctrlProp6.xml><?xml version="1.0" encoding="utf-8"?>
<formControlPr xmlns="http://schemas.microsoft.com/office/spreadsheetml/2009/9/main" objectType="CheckBox" checked="Checked" fmlaLink="FormSampel!$B$10" lockText="1" noThreeD="1"/>
</file>

<file path=xl/ctrlProps/ctrlProp7.xml><?xml version="1.0" encoding="utf-8"?>
<formControlPr xmlns="http://schemas.microsoft.com/office/spreadsheetml/2009/9/main" objectType="CheckBox" fmlaLink="FormSampel!$B$4" lockText="1" noThreeD="1"/>
</file>

<file path=xl/ctrlProps/ctrlProp8.xml><?xml version="1.0" encoding="utf-8"?>
<formControlPr xmlns="http://schemas.microsoft.com/office/spreadsheetml/2009/9/main" objectType="CheckBox" checked="Checked" fmlaLink="FormSampel!$B$5" lockText="1" noThreeD="1"/>
</file>

<file path=xl/ctrlProps/ctrlProp9.xml><?xml version="1.0" encoding="utf-8"?>
<formControlPr xmlns="http://schemas.microsoft.com/office/spreadsheetml/2009/9/main" objectType="CheckBox" fmlaLink="FormSampel!$B$8" lockText="1" noThreeD="1"/>
</file>

<file path=xl/ctrlProps/ctrlProp10.xml><?xml version="1.0" encoding="utf-8"?>
<formControlPr xmlns="http://schemas.microsoft.com/office/spreadsheetml/2009/9/main" objectType="CheckBox" checked="Checked" fmlaLink="FormSampel!$B$7" lockText="1" noThreeD="1"/>
</file>

<file path=xl/ctrlProps/ctrlProp11.xml><?xml version="1.0" encoding="utf-8"?>
<formControlPr xmlns="http://schemas.microsoft.com/office/spreadsheetml/2009/9/main" objectType="CheckBox" fmlaLink="FormSampel!$B$11" lockText="1" noThreeD="1"/>
</file>

<file path=xl/ctrlProps/ctrlProp12.xml><?xml version="1.0" encoding="utf-8"?>
<formControlPr xmlns="http://schemas.microsoft.com/office/spreadsheetml/2009/9/main" objectType="CheckBox" checked="Checked" fmlaLink="FormSampel!$B$10" lockText="1" noThreeD="1"/>
</file>

<file path=xl/ctrlProps/ctrlProp13.xml><?xml version="1.0" encoding="utf-8"?>
<formControlPr xmlns="http://schemas.microsoft.com/office/spreadsheetml/2009/9/main" objectType="CheckBox" fmlaLink="FormSampel!$B$4" lockText="1" noThreeD="1"/>
</file>

<file path=xl/ctrlProps/ctrlProp14.xml><?xml version="1.0" encoding="utf-8"?>
<formControlPr xmlns="http://schemas.microsoft.com/office/spreadsheetml/2009/9/main" objectType="CheckBox" checked="Checked" fmlaLink="FormSampel!$B$5" lockText="1" noThreeD="1"/>
</file>

<file path=xl/ctrlProps/ctrlProp15.xml><?xml version="1.0" encoding="utf-8"?>
<formControlPr xmlns="http://schemas.microsoft.com/office/spreadsheetml/2009/9/main" objectType="CheckBox" fmlaLink="FormSampel!$B$8" lockText="1" noThreeD="1"/>
</file>

<file path=xl/ctrlProps/ctrlProp16.xml><?xml version="1.0" encoding="utf-8"?>
<formControlPr xmlns="http://schemas.microsoft.com/office/spreadsheetml/2009/9/main" objectType="CheckBox" checked="Checked" fmlaLink="FormSampel!$B$7" lockText="1" noThreeD="1"/>
</file>

<file path=xl/ctrlProps/ctrlProp17.xml><?xml version="1.0" encoding="utf-8"?>
<formControlPr xmlns="http://schemas.microsoft.com/office/spreadsheetml/2009/9/main" objectType="CheckBox" fmlaLink="FormSampel!$B$11" lockText="1" noThreeD="1"/>
</file>

<file path=xl/ctrlProps/ctrlProp18.xml><?xml version="1.0" encoding="utf-8"?>
<formControlPr xmlns="http://schemas.microsoft.com/office/spreadsheetml/2009/9/main" objectType="CheckBox" checked="Checked" fmlaLink="FormSampel!$B$10" lockText="1" noThreeD="1"/>
</file>

<file path=xl/ctrlProps/ctrlProp19.xml><?xml version="1.0" encoding="utf-8"?>
<formControlPr xmlns="http://schemas.microsoft.com/office/spreadsheetml/2009/9/main" objectType="CheckBox" fmlaLink="FormSampel!$B$4" lockText="1" noThreeD="1"/>
</file>

<file path=xl/ctrlProps/ctrlProp20.xml><?xml version="1.0" encoding="utf-8"?>
<formControlPr xmlns="http://schemas.microsoft.com/office/spreadsheetml/2009/9/main" objectType="CheckBox" checked="Checked" fmlaLink="FormSampel!$B$5" lockText="1" noThreeD="1"/>
</file>

<file path=xl/ctrlProps/ctrlProp21.xml><?xml version="1.0" encoding="utf-8"?>
<formControlPr xmlns="http://schemas.microsoft.com/office/spreadsheetml/2009/9/main" objectType="CheckBox" fmlaLink="FormSampel!$B$8" lockText="1" noThreeD="1"/>
</file>

<file path=xl/ctrlProps/ctrlProp22.xml><?xml version="1.0" encoding="utf-8"?>
<formControlPr xmlns="http://schemas.microsoft.com/office/spreadsheetml/2009/9/main" objectType="CheckBox" checked="Checked" fmlaLink="FormSampel!$B$7" lockText="1" noThreeD="1"/>
</file>

<file path=xl/ctrlProps/ctrlProp23.xml><?xml version="1.0" encoding="utf-8"?>
<formControlPr xmlns="http://schemas.microsoft.com/office/spreadsheetml/2009/9/main" objectType="CheckBox" fmlaLink="FormSampel!$B$11" lockText="1" noThreeD="1"/>
</file>

<file path=xl/ctrlProps/ctrlProp24.xml><?xml version="1.0" encoding="utf-8"?>
<formControlPr xmlns="http://schemas.microsoft.com/office/spreadsheetml/2009/9/main" objectType="CheckBox" checked="Checked" fmlaLink="FormSampel!$B$10" lockText="1" noThreeD="1"/>
</file>

<file path=xl/ctrlProps/ctrlProp25.xml><?xml version="1.0" encoding="utf-8"?>
<formControlPr xmlns="http://schemas.microsoft.com/office/spreadsheetml/2009/9/main" objectType="CheckBox" fmlaLink="FormSampel!$B$4" lockText="1" noThreeD="1"/>
</file>

<file path=xl/ctrlProps/ctrlProp26.xml><?xml version="1.0" encoding="utf-8"?>
<formControlPr xmlns="http://schemas.microsoft.com/office/spreadsheetml/2009/9/main" objectType="CheckBox" checked="Checked" fmlaLink="FormSampel!$B$5" lockText="1" noThreeD="1"/>
</file>

<file path=xl/ctrlProps/ctrlProp27.xml><?xml version="1.0" encoding="utf-8"?>
<formControlPr xmlns="http://schemas.microsoft.com/office/spreadsheetml/2009/9/main" objectType="CheckBox" fmlaLink="FormSampel!$B$8" lockText="1" noThreeD="1"/>
</file>

<file path=xl/ctrlProps/ctrlProp28.xml><?xml version="1.0" encoding="utf-8"?>
<formControlPr xmlns="http://schemas.microsoft.com/office/spreadsheetml/2009/9/main" objectType="CheckBox" checked="Checked" fmlaLink="FormSampel!$B$7" lockText="1" noThreeD="1"/>
</file>

<file path=xl/ctrlProps/ctrlProp29.xml><?xml version="1.0" encoding="utf-8"?>
<formControlPr xmlns="http://schemas.microsoft.com/office/spreadsheetml/2009/9/main" objectType="CheckBox" fmlaLink="FormSampel!$B$11" lockText="1" noThreeD="1"/>
</file>

<file path=xl/ctrlProps/ctrlProp30.xml><?xml version="1.0" encoding="utf-8"?>
<formControlPr xmlns="http://schemas.microsoft.com/office/spreadsheetml/2009/9/main" objectType="CheckBox" checked="Checked" fmlaLink="FormSampel!$B$10" lockText="1" noThreeD="1"/>
</file>

<file path=xl/ctrlProps/ctrlProp31.xml><?xml version="1.0" encoding="utf-8"?>
<formControlPr xmlns="http://schemas.microsoft.com/office/spreadsheetml/2009/9/main" objectType="CheckBox" fmlaLink="FormSampel!$B$4" lockText="1" noThreeD="1"/>
</file>

<file path=xl/ctrlProps/ctrlProp32.xml><?xml version="1.0" encoding="utf-8"?>
<formControlPr xmlns="http://schemas.microsoft.com/office/spreadsheetml/2009/9/main" objectType="CheckBox" checked="Checked" fmlaLink="FormSampel!$B$5" lockText="1" noThreeD="1"/>
</file>

<file path=xl/ctrlProps/ctrlProp33.xml><?xml version="1.0" encoding="utf-8"?>
<formControlPr xmlns="http://schemas.microsoft.com/office/spreadsheetml/2009/9/main" objectType="CheckBox" fmlaLink="FormSampel!$B$8" lockText="1" noThreeD="1"/>
</file>

<file path=xl/ctrlProps/ctrlProp34.xml><?xml version="1.0" encoding="utf-8"?>
<formControlPr xmlns="http://schemas.microsoft.com/office/spreadsheetml/2009/9/main" objectType="CheckBox" checked="Checked" fmlaLink="FormSampel!$B$7" lockText="1" noThreeD="1"/>
</file>

<file path=xl/ctrlProps/ctrlProp35.xml><?xml version="1.0" encoding="utf-8"?>
<formControlPr xmlns="http://schemas.microsoft.com/office/spreadsheetml/2009/9/main" objectType="CheckBox" fmlaLink="FormSampel!$B$11" lockText="1" noThreeD="1"/>
</file>

<file path=xl/ctrlProps/ctrlProp36.xml><?xml version="1.0" encoding="utf-8"?>
<formControlPr xmlns="http://schemas.microsoft.com/office/spreadsheetml/2009/9/main" objectType="CheckBox" checked="Checked" fmlaLink="FormSampel!$B$10" lockText="1" noThreeD="1"/>
</file>

<file path=xl/ctrlProps/ctrlProp37.xml><?xml version="1.0" encoding="utf-8"?>
<formControlPr xmlns="http://schemas.microsoft.com/office/spreadsheetml/2009/9/main" objectType="CheckBox" fmlaLink="FormSampel!$B$4" lockText="1" noThreeD="1"/>
</file>

<file path=xl/ctrlProps/ctrlProp38.xml><?xml version="1.0" encoding="utf-8"?>
<formControlPr xmlns="http://schemas.microsoft.com/office/spreadsheetml/2009/9/main" objectType="CheckBox" checked="Checked" fmlaLink="FormSampel!$B$5" lockText="1" noThreeD="1"/>
</file>

<file path=xl/ctrlProps/ctrlProp39.xml><?xml version="1.0" encoding="utf-8"?>
<formControlPr xmlns="http://schemas.microsoft.com/office/spreadsheetml/2009/9/main" objectType="CheckBox" fmlaLink="FormSampel!$B$8" lockText="1" noThreeD="1"/>
</file>

<file path=xl/ctrlProps/ctrlProp40.xml><?xml version="1.0" encoding="utf-8"?>
<formControlPr xmlns="http://schemas.microsoft.com/office/spreadsheetml/2009/9/main" objectType="CheckBox" checked="Checked" fmlaLink="FormSampel!$B$7" lockText="1" noThreeD="1"/>
</file>

<file path=xl/ctrlProps/ctrlProp41.xml><?xml version="1.0" encoding="utf-8"?>
<formControlPr xmlns="http://schemas.microsoft.com/office/spreadsheetml/2009/9/main" objectType="CheckBox" fmlaLink="FormSampel!$B$11" lockText="1" noThreeD="1"/>
</file>

<file path=xl/ctrlProps/ctrlProp42.xml><?xml version="1.0" encoding="utf-8"?>
<formControlPr xmlns="http://schemas.microsoft.com/office/spreadsheetml/2009/9/main" objectType="CheckBox" checked="Checked" fmlaLink="FormSampel!$B$10" lockText="1" noThreeD="1"/>
</file>

<file path=xl/ctrlProps/ctrlProp43.xml><?xml version="1.0" encoding="utf-8"?>
<formControlPr xmlns="http://schemas.microsoft.com/office/spreadsheetml/2009/9/main" objectType="CheckBox" fmlaLink="FormSampel!$B$4" lockText="1" noThreeD="1"/>
</file>

<file path=xl/ctrlProps/ctrlProp44.xml><?xml version="1.0" encoding="utf-8"?>
<formControlPr xmlns="http://schemas.microsoft.com/office/spreadsheetml/2009/9/main" objectType="CheckBox" checked="Checked" fmlaLink="FormSampel!$B$5" lockText="1" noThreeD="1"/>
</file>

<file path=xl/ctrlProps/ctrlProp45.xml><?xml version="1.0" encoding="utf-8"?>
<formControlPr xmlns="http://schemas.microsoft.com/office/spreadsheetml/2009/9/main" objectType="CheckBox" fmlaLink="FormSampel!$B$8" lockText="1" noThreeD="1"/>
</file>

<file path=xl/ctrlProps/ctrlProp46.xml><?xml version="1.0" encoding="utf-8"?>
<formControlPr xmlns="http://schemas.microsoft.com/office/spreadsheetml/2009/9/main" objectType="CheckBox" checked="Checked" fmlaLink="FormSampel!$B$7" lockText="1" noThreeD="1"/>
</file>

<file path=xl/ctrlProps/ctrlProp47.xml><?xml version="1.0" encoding="utf-8"?>
<formControlPr xmlns="http://schemas.microsoft.com/office/spreadsheetml/2009/9/main" objectType="CheckBox" fmlaLink="FormSampel!$B$11" lockText="1" noThreeD="1"/>
</file>

<file path=xl/ctrlProps/ctrlProp48.xml><?xml version="1.0" encoding="utf-8"?>
<formControlPr xmlns="http://schemas.microsoft.com/office/spreadsheetml/2009/9/main" objectType="CheckBox" checked="Checked" fmlaLink="FormSampel!$B$10" lockText="1" noThreeD="1"/>
</file>

<file path=xl/ctrlProps/ctrlProp49.xml><?xml version="1.0" encoding="utf-8"?>
<formControlPr xmlns="http://schemas.microsoft.com/office/spreadsheetml/2009/9/main" objectType="CheckBox" fmlaLink="FormSampel!$B$4" lockText="1" noThreeD="1"/>
</file>

<file path=xl/ctrlProps/ctrlProp50.xml><?xml version="1.0" encoding="utf-8"?>
<formControlPr xmlns="http://schemas.microsoft.com/office/spreadsheetml/2009/9/main" objectType="CheckBox" checked="Checked" fmlaLink="FormSampel!$B$5" lockText="1" noThreeD="1"/>
</file>

<file path=xl/ctrlProps/ctrlProp51.xml><?xml version="1.0" encoding="utf-8"?>
<formControlPr xmlns="http://schemas.microsoft.com/office/spreadsheetml/2009/9/main" objectType="CheckBox" fmlaLink="FormSampel!$B$8" lockText="1" noThreeD="1"/>
</file>

<file path=xl/ctrlProps/ctrlProp52.xml><?xml version="1.0" encoding="utf-8"?>
<formControlPr xmlns="http://schemas.microsoft.com/office/spreadsheetml/2009/9/main" objectType="CheckBox" checked="Checked" fmlaLink="FormSampel!$B$7" lockText="1" noThreeD="1"/>
</file>

<file path=xl/ctrlProps/ctrlProp53.xml><?xml version="1.0" encoding="utf-8"?>
<formControlPr xmlns="http://schemas.microsoft.com/office/spreadsheetml/2009/9/main" objectType="CheckBox" fmlaLink="FormSampel!$B$11" lockText="1" noThreeD="1"/>
</file>

<file path=xl/ctrlProps/ctrlProp54.xml><?xml version="1.0" encoding="utf-8"?>
<formControlPr xmlns="http://schemas.microsoft.com/office/spreadsheetml/2009/9/main" objectType="CheckBox" checked="Checked" fmlaLink="FormSampel!$B$10" lockText="1" noThreeD="1"/>
</file>

<file path=xl/ctrlProps/ctrlProp55.xml><?xml version="1.0" encoding="utf-8"?>
<formControlPr xmlns="http://schemas.microsoft.com/office/spreadsheetml/2009/9/main" objectType="CheckBox" fmlaLink="FormSampel!$B$4" lockText="1" noThreeD="1"/>
</file>

<file path=xl/ctrlProps/ctrlProp56.xml><?xml version="1.0" encoding="utf-8"?>
<formControlPr xmlns="http://schemas.microsoft.com/office/spreadsheetml/2009/9/main" objectType="CheckBox" checked="Checked" fmlaLink="FormSampel!$B$5" lockText="1" noThreeD="1"/>
</file>

<file path=xl/ctrlProps/ctrlProp57.xml><?xml version="1.0" encoding="utf-8"?>
<formControlPr xmlns="http://schemas.microsoft.com/office/spreadsheetml/2009/9/main" objectType="CheckBox" fmlaLink="FormSampel!$B$8" lockText="1" noThreeD="1"/>
</file>

<file path=xl/ctrlProps/ctrlProp58.xml><?xml version="1.0" encoding="utf-8"?>
<formControlPr xmlns="http://schemas.microsoft.com/office/spreadsheetml/2009/9/main" objectType="CheckBox" checked="Checked" fmlaLink="FormSampel!$B$7" lockText="1" noThreeD="1"/>
</file>

<file path=xl/ctrlProps/ctrlProp59.xml><?xml version="1.0" encoding="utf-8"?>
<formControlPr xmlns="http://schemas.microsoft.com/office/spreadsheetml/2009/9/main" objectType="CheckBox" fmlaLink="FormSampel!$B$11" lockText="1" noThreeD="1"/>
</file>

<file path=xl/ctrlProps/ctrlProp60.xml><?xml version="1.0" encoding="utf-8"?>
<formControlPr xmlns="http://schemas.microsoft.com/office/spreadsheetml/2009/9/main" objectType="CheckBox" checked="Checked" fmlaLink="FormSampel!$B$10" lockText="1" noThreeD="1"/>
</file>

<file path=xl/ctrlProps/ctrlProp61.xml><?xml version="1.0" encoding="utf-8"?>
<formControlPr xmlns="http://schemas.microsoft.com/office/spreadsheetml/2009/9/main" objectType="CheckBox" fmlaLink="FormSampel!$B$4" lockText="1" noThreeD="1"/>
</file>

<file path=xl/ctrlProps/ctrlProp62.xml><?xml version="1.0" encoding="utf-8"?>
<formControlPr xmlns="http://schemas.microsoft.com/office/spreadsheetml/2009/9/main" objectType="CheckBox" checked="Checked" fmlaLink="FormSampel!$B$5" lockText="1" noThreeD="1"/>
</file>

<file path=xl/ctrlProps/ctrlProp63.xml><?xml version="1.0" encoding="utf-8"?>
<formControlPr xmlns="http://schemas.microsoft.com/office/spreadsheetml/2009/9/main" objectType="CheckBox" fmlaLink="FormSampel!$B$8" lockText="1" noThreeD="1"/>
</file>

<file path=xl/ctrlProps/ctrlProp64.xml><?xml version="1.0" encoding="utf-8"?>
<formControlPr xmlns="http://schemas.microsoft.com/office/spreadsheetml/2009/9/main" objectType="CheckBox" checked="Checked" fmlaLink="FormSampel!$B$7" lockText="1" noThreeD="1"/>
</file>

<file path=xl/ctrlProps/ctrlProp65.xml><?xml version="1.0" encoding="utf-8"?>
<formControlPr xmlns="http://schemas.microsoft.com/office/spreadsheetml/2009/9/main" objectType="CheckBox" fmlaLink="FormSampel!$B$11" lockText="1" noThreeD="1"/>
</file>

<file path=xl/ctrlProps/ctrlProp66.xml><?xml version="1.0" encoding="utf-8"?>
<formControlPr xmlns="http://schemas.microsoft.com/office/spreadsheetml/2009/9/main" objectType="CheckBox" checked="Checked" fmlaLink="FormSampel!$B$10" lockText="1" noThreeD="1"/>
</file>

<file path=xl/ctrlProps/ctrlProp67.xml><?xml version="1.0" encoding="utf-8"?>
<formControlPr xmlns="http://schemas.microsoft.com/office/spreadsheetml/2009/9/main" objectType="CheckBox" fmlaLink="FormSampel!$B$4" lockText="1" noThreeD="1"/>
</file>

<file path=xl/ctrlProps/ctrlProp68.xml><?xml version="1.0" encoding="utf-8"?>
<formControlPr xmlns="http://schemas.microsoft.com/office/spreadsheetml/2009/9/main" objectType="CheckBox" checked="Checked" fmlaLink="FormSampel!$B$5" lockText="1" noThreeD="1"/>
</file>

<file path=xl/ctrlProps/ctrlProp69.xml><?xml version="1.0" encoding="utf-8"?>
<formControlPr xmlns="http://schemas.microsoft.com/office/spreadsheetml/2009/9/main" objectType="CheckBox" fmlaLink="FormSampel!$B$8" lockText="1" noThreeD="1"/>
</file>

<file path=xl/ctrlProps/ctrlProp70.xml><?xml version="1.0" encoding="utf-8"?>
<formControlPr xmlns="http://schemas.microsoft.com/office/spreadsheetml/2009/9/main" objectType="CheckBox" checked="Checked" fmlaLink="FormSampel!$B$7" lockText="1" noThreeD="1"/>
</file>

<file path=xl/ctrlProps/ctrlProp71.xml><?xml version="1.0" encoding="utf-8"?>
<formControlPr xmlns="http://schemas.microsoft.com/office/spreadsheetml/2009/9/main" objectType="CheckBox" fmlaLink="FormSampel!$B$11" lockText="1" noThreeD="1"/>
</file>

<file path=xl/ctrlProps/ctrlProp72.xml><?xml version="1.0" encoding="utf-8"?>
<formControlPr xmlns="http://schemas.microsoft.com/office/spreadsheetml/2009/9/main" objectType="CheckBox" checked="Checked" fmlaLink="FormSampel!$B$10" lockText="1" noThreeD="1"/>
</file>

<file path=xl/ctrlProps/ctrlProp73.xml><?xml version="1.0" encoding="utf-8"?>
<formControlPr xmlns="http://schemas.microsoft.com/office/spreadsheetml/2009/9/main" objectType="CheckBox" fmlaLink="FormSampel!$B$4" lockText="1" noThreeD="1"/>
</file>

<file path=xl/ctrlProps/ctrlProp74.xml><?xml version="1.0" encoding="utf-8"?>
<formControlPr xmlns="http://schemas.microsoft.com/office/spreadsheetml/2009/9/main" objectType="CheckBox" checked="Checked" fmlaLink="FormSampel!$B$5" lockText="1" noThreeD="1"/>
</file>

<file path=xl/ctrlProps/ctrlProp75.xml><?xml version="1.0" encoding="utf-8"?>
<formControlPr xmlns="http://schemas.microsoft.com/office/spreadsheetml/2009/9/main" objectType="CheckBox" fmlaLink="FormSampel!$B$8" lockText="1" noThreeD="1"/>
</file>

<file path=xl/ctrlProps/ctrlProp76.xml><?xml version="1.0" encoding="utf-8"?>
<formControlPr xmlns="http://schemas.microsoft.com/office/spreadsheetml/2009/9/main" objectType="CheckBox" checked="Checked" fmlaLink="FormSampel!$B$7" lockText="1" noThreeD="1"/>
</file>

<file path=xl/ctrlProps/ctrlProp77.xml><?xml version="1.0" encoding="utf-8"?>
<formControlPr xmlns="http://schemas.microsoft.com/office/spreadsheetml/2009/9/main" objectType="CheckBox" fmlaLink="FormSampel!$B$11" lockText="1" noThreeD="1"/>
</file>

<file path=xl/ctrlProps/ctrlProp78.xml><?xml version="1.0" encoding="utf-8"?>
<formControlPr xmlns="http://schemas.microsoft.com/office/spreadsheetml/2009/9/main" objectType="CheckBox" checked="Checked" fmlaLink="FormSampel!$B$10" lockText="1" noThreeD="1"/>
</file>

<file path=xl/ctrlProps/ctrlProp79.xml><?xml version="1.0" encoding="utf-8"?>
<formControlPr xmlns="http://schemas.microsoft.com/office/spreadsheetml/2009/9/main" objectType="CheckBox" fmlaLink="FormSampel!$B$4" lockText="1" noThreeD="1"/>
</file>

<file path=xl/ctrlProps/ctrlProp80.xml><?xml version="1.0" encoding="utf-8"?>
<formControlPr xmlns="http://schemas.microsoft.com/office/spreadsheetml/2009/9/main" objectType="CheckBox" checked="Checked" fmlaLink="FormSampel!$B$5" lockText="1" noThreeD="1"/>
</file>

<file path=xl/ctrlProps/ctrlProp81.xml><?xml version="1.0" encoding="utf-8"?>
<formControlPr xmlns="http://schemas.microsoft.com/office/spreadsheetml/2009/9/main" objectType="CheckBox" fmlaLink="FormSampel!$B$8" lockText="1" noThreeD="1"/>
</file>

<file path=xl/ctrlProps/ctrlProp82.xml><?xml version="1.0" encoding="utf-8"?>
<formControlPr xmlns="http://schemas.microsoft.com/office/spreadsheetml/2009/9/main" objectType="CheckBox" checked="Checked" fmlaLink="FormSampel!$B$7" lockText="1" noThreeD="1"/>
</file>

<file path=xl/ctrlProps/ctrlProp83.xml><?xml version="1.0" encoding="utf-8"?>
<formControlPr xmlns="http://schemas.microsoft.com/office/spreadsheetml/2009/9/main" objectType="CheckBox" fmlaLink="FormSampel!$B$11" lockText="1" noThreeD="1"/>
</file>

<file path=xl/ctrlProps/ctrlProp84.xml><?xml version="1.0" encoding="utf-8"?>
<formControlPr xmlns="http://schemas.microsoft.com/office/spreadsheetml/2009/9/main" objectType="CheckBox" checked="Checked" fmlaLink="FormSampel!$B$10" lockText="1" noThreeD="1"/>
</file>

<file path=xl/ctrlProps/ctrlProp85.xml><?xml version="1.0" encoding="utf-8"?>
<formControlPr xmlns="http://schemas.microsoft.com/office/spreadsheetml/2009/9/main" objectType="CheckBox" fmlaLink="FormSampel!$B$4" lockText="1" noThreeD="1"/>
</file>

<file path=xl/ctrlProps/ctrlProp86.xml><?xml version="1.0" encoding="utf-8"?>
<formControlPr xmlns="http://schemas.microsoft.com/office/spreadsheetml/2009/9/main" objectType="CheckBox" checked="Checked" fmlaLink="FormSampel!$B$5" lockText="1" noThreeD="1"/>
</file>

<file path=xl/ctrlProps/ctrlProp87.xml><?xml version="1.0" encoding="utf-8"?>
<formControlPr xmlns="http://schemas.microsoft.com/office/spreadsheetml/2009/9/main" objectType="CheckBox" fmlaLink="FormSampel!$B$8" lockText="1" noThreeD="1"/>
</file>

<file path=xl/ctrlProps/ctrlProp88.xml><?xml version="1.0" encoding="utf-8"?>
<formControlPr xmlns="http://schemas.microsoft.com/office/spreadsheetml/2009/9/main" objectType="CheckBox" checked="Checked" fmlaLink="FormSampel!$B$7" lockText="1" noThreeD="1"/>
</file>

<file path=xl/ctrlProps/ctrlProp89.xml><?xml version="1.0" encoding="utf-8"?>
<formControlPr xmlns="http://schemas.microsoft.com/office/spreadsheetml/2009/9/main" objectType="CheckBox" fmlaLink="FormSampel!$B$11" lockText="1" noThreeD="1"/>
</file>

<file path=xl/ctrlProps/ctrlProp90.xml><?xml version="1.0" encoding="utf-8"?>
<formControlPr xmlns="http://schemas.microsoft.com/office/spreadsheetml/2009/9/main" objectType="CheckBox" checked="Checked" fmlaLink="FormSampel!$B$10" lockText="1" noThreeD="1"/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1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1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12" name="Shape 2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13" name="Shape 4">
            <a:extLst>
              <a:ext uri="{FF2B5EF4-FFF2-40B4-BE49-F238E27FC236}">
                <a16:creationId xmlns:a16="http://schemas.microsoft.com/office/drawing/2014/main" id="{00000000-0008-0000-0100-00000D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4" name="Shape 2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5" name="Shape 4">
            <a:extLst>
              <a:ext uri="{FF2B5EF4-FFF2-40B4-BE49-F238E27FC236}">
                <a16:creationId xmlns:a16="http://schemas.microsoft.com/office/drawing/2014/main" id="{00000000-0008-0000-0100-00000F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1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1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1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1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1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1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2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2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2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2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23553" name="Check Box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2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23554" name="Check Box 2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:a16="http://schemas.microsoft.com/office/drawing/2014/main" id="{00000000-0008-0000-0200-00000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23555" name="Check Box 3" hidden="1">
              <a:extLst>
                <a:ext uri="{63B3BB69-23CF-44E3-9099-C40C66FF867C}">
                  <a14:compatExt spid="_x0000_s23555"/>
                </a:ext>
                <a:ext uri="{FF2B5EF4-FFF2-40B4-BE49-F238E27FC236}">
                  <a16:creationId xmlns:a16="http://schemas.microsoft.com/office/drawing/2014/main" id="{00000000-0008-0000-0200-00000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23556" name="Check Box 4" hidden="1">
              <a:extLst>
                <a:ext uri="{63B3BB69-23CF-44E3-9099-C40C66FF867C}">
                  <a14:compatExt spid="_x0000_s23556"/>
                </a:ext>
                <a:ext uri="{FF2B5EF4-FFF2-40B4-BE49-F238E27FC236}">
                  <a16:creationId xmlns:a16="http://schemas.microsoft.com/office/drawing/2014/main" id="{00000000-0008-0000-0200-000004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23557" name="Check Box 5" hidden="1">
              <a:extLst>
                <a:ext uri="{63B3BB69-23CF-44E3-9099-C40C66FF867C}">
                  <a14:compatExt spid="_x0000_s23557"/>
                </a:ext>
                <a:ext uri="{FF2B5EF4-FFF2-40B4-BE49-F238E27FC236}">
                  <a16:creationId xmlns:a16="http://schemas.microsoft.com/office/drawing/2014/main" id="{00000000-0008-0000-0200-000005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23558" name="Check Box 6" hidden="1">
              <a:extLst>
                <a:ext uri="{63B3BB69-23CF-44E3-9099-C40C66FF867C}">
                  <a14:compatExt spid="_x0000_s23558"/>
                </a:ext>
                <a:ext uri="{FF2B5EF4-FFF2-40B4-BE49-F238E27FC236}">
                  <a16:creationId xmlns:a16="http://schemas.microsoft.com/office/drawing/2014/main" id="{00000000-0008-0000-0200-000006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2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2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2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2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2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3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3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3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3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24577" name="Check Box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3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24578" name="Check Box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3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24579" name="Check Box 3" hidden="1">
              <a:extLst>
                <a:ext uri="{63B3BB69-23CF-44E3-9099-C40C66FF867C}">
                  <a14:compatExt spid="_x0000_s24579"/>
                </a:ext>
                <a:ext uri="{FF2B5EF4-FFF2-40B4-BE49-F238E27FC236}">
                  <a16:creationId xmlns:a16="http://schemas.microsoft.com/office/drawing/2014/main" id="{00000000-0008-0000-0300-00000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24580" name="Check Box 4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3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24581" name="Check Box 5" hidden="1">
              <a:extLst>
                <a:ext uri="{63B3BB69-23CF-44E3-9099-C40C66FF867C}">
                  <a14:compatExt spid="_x0000_s24581"/>
                </a:ext>
                <a:ext uri="{FF2B5EF4-FFF2-40B4-BE49-F238E27FC236}">
                  <a16:creationId xmlns:a16="http://schemas.microsoft.com/office/drawing/2014/main" id="{00000000-0008-0000-0300-00000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24582" name="Check Box 6" hidden="1">
              <a:extLst>
                <a:ext uri="{63B3BB69-23CF-44E3-9099-C40C66FF867C}">
                  <a14:compatExt spid="_x0000_s24582"/>
                </a:ext>
                <a:ext uri="{FF2B5EF4-FFF2-40B4-BE49-F238E27FC236}">
                  <a16:creationId xmlns:a16="http://schemas.microsoft.com/office/drawing/2014/main" id="{00000000-0008-0000-0300-00000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3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3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3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3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3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3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3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3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4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4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4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4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25601" name="Check Box 1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04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25602" name="Check Box 2" hidden="1">
              <a:extLst>
                <a:ext uri="{63B3BB69-23CF-44E3-9099-C40C66FF867C}">
                  <a14:compatExt spid="_x0000_s25602"/>
                </a:ext>
                <a:ext uri="{FF2B5EF4-FFF2-40B4-BE49-F238E27FC236}">
                  <a16:creationId xmlns:a16="http://schemas.microsoft.com/office/drawing/2014/main" id="{00000000-0008-0000-0400-00000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25603" name="Check Box 3" hidden="1">
              <a:extLst>
                <a:ext uri="{63B3BB69-23CF-44E3-9099-C40C66FF867C}">
                  <a14:compatExt spid="_x0000_s25603"/>
                </a:ext>
                <a:ext uri="{FF2B5EF4-FFF2-40B4-BE49-F238E27FC236}">
                  <a16:creationId xmlns:a16="http://schemas.microsoft.com/office/drawing/2014/main" id="{00000000-0008-0000-0400-00000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25604" name="Check Box 4" hidden="1">
              <a:extLst>
                <a:ext uri="{63B3BB69-23CF-44E3-9099-C40C66FF867C}">
                  <a14:compatExt spid="_x0000_s25604"/>
                </a:ext>
                <a:ext uri="{FF2B5EF4-FFF2-40B4-BE49-F238E27FC236}">
                  <a16:creationId xmlns:a16="http://schemas.microsoft.com/office/drawing/2014/main" id="{00000000-0008-0000-0400-00000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25605" name="Check Box 5" hidden="1">
              <a:extLst>
                <a:ext uri="{63B3BB69-23CF-44E3-9099-C40C66FF867C}">
                  <a14:compatExt spid="_x0000_s25605"/>
                </a:ext>
                <a:ext uri="{FF2B5EF4-FFF2-40B4-BE49-F238E27FC236}">
                  <a16:creationId xmlns:a16="http://schemas.microsoft.com/office/drawing/2014/main" id="{00000000-0008-0000-0400-00000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25606" name="Check Box 6" hidden="1">
              <a:extLst>
                <a:ext uri="{63B3BB69-23CF-44E3-9099-C40C66FF867C}">
                  <a14:compatExt spid="_x0000_s25606"/>
                </a:ext>
                <a:ext uri="{FF2B5EF4-FFF2-40B4-BE49-F238E27FC236}">
                  <a16:creationId xmlns:a16="http://schemas.microsoft.com/office/drawing/2014/main" id="{00000000-0008-0000-0400-00000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4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4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4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4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4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4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4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4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5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5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5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5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26625" name="Check Box 1" hidden="1">
              <a:extLst>
                <a:ext uri="{63B3BB69-23CF-44E3-9099-C40C66FF867C}">
                  <a14:compatExt spid="_x0000_s26625"/>
                </a:ext>
                <a:ext uri="{FF2B5EF4-FFF2-40B4-BE49-F238E27FC236}">
                  <a16:creationId xmlns:a16="http://schemas.microsoft.com/office/drawing/2014/main" id="{00000000-0008-0000-0500-00000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26626" name="Check Box 2" hidden="1">
              <a:extLst>
                <a:ext uri="{63B3BB69-23CF-44E3-9099-C40C66FF867C}">
                  <a14:compatExt spid="_x0000_s26626"/>
                </a:ext>
                <a:ext uri="{FF2B5EF4-FFF2-40B4-BE49-F238E27FC236}">
                  <a16:creationId xmlns:a16="http://schemas.microsoft.com/office/drawing/2014/main" id="{00000000-0008-0000-0500-00000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26627" name="Check Box 3" hidden="1">
              <a:extLst>
                <a:ext uri="{63B3BB69-23CF-44E3-9099-C40C66FF867C}">
                  <a14:compatExt spid="_x0000_s26627"/>
                </a:ext>
                <a:ext uri="{FF2B5EF4-FFF2-40B4-BE49-F238E27FC236}">
                  <a16:creationId xmlns:a16="http://schemas.microsoft.com/office/drawing/2014/main" id="{00000000-0008-0000-0500-00000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26628" name="Check Box 4" hidden="1">
              <a:extLst>
                <a:ext uri="{63B3BB69-23CF-44E3-9099-C40C66FF867C}">
                  <a14:compatExt spid="_x0000_s26628"/>
                </a:ext>
                <a:ext uri="{FF2B5EF4-FFF2-40B4-BE49-F238E27FC236}">
                  <a16:creationId xmlns:a16="http://schemas.microsoft.com/office/drawing/2014/main" id="{00000000-0008-0000-0500-00000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26629" name="Check Box 5" hidden="1">
              <a:extLst>
                <a:ext uri="{63B3BB69-23CF-44E3-9099-C40C66FF867C}">
                  <a14:compatExt spid="_x0000_s26629"/>
                </a:ext>
                <a:ext uri="{FF2B5EF4-FFF2-40B4-BE49-F238E27FC236}">
                  <a16:creationId xmlns:a16="http://schemas.microsoft.com/office/drawing/2014/main" id="{00000000-0008-0000-0500-00000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26630" name="Check Box 6" hidden="1">
              <a:extLst>
                <a:ext uri="{63B3BB69-23CF-44E3-9099-C40C66FF867C}">
                  <a14:compatExt spid="_x0000_s26630"/>
                </a:ext>
                <a:ext uri="{FF2B5EF4-FFF2-40B4-BE49-F238E27FC236}">
                  <a16:creationId xmlns:a16="http://schemas.microsoft.com/office/drawing/2014/main" id="{00000000-0008-0000-0500-00000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5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5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5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5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5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5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5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5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6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6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6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6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27649" name="Check Box 1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0600-00000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27650" name="Check Box 2" hidden="1">
              <a:extLst>
                <a:ext uri="{63B3BB69-23CF-44E3-9099-C40C66FF867C}">
                  <a14:compatExt spid="_x0000_s27650"/>
                </a:ext>
                <a:ext uri="{FF2B5EF4-FFF2-40B4-BE49-F238E27FC236}">
                  <a16:creationId xmlns:a16="http://schemas.microsoft.com/office/drawing/2014/main" id="{00000000-0008-0000-0600-00000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27651" name="Check Box 3" hidden="1">
              <a:extLst>
                <a:ext uri="{63B3BB69-23CF-44E3-9099-C40C66FF867C}">
                  <a14:compatExt spid="_x0000_s27651"/>
                </a:ext>
                <a:ext uri="{FF2B5EF4-FFF2-40B4-BE49-F238E27FC236}">
                  <a16:creationId xmlns:a16="http://schemas.microsoft.com/office/drawing/2014/main" id="{00000000-0008-0000-0600-00000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27652" name="Check Box 4" hidden="1">
              <a:extLst>
                <a:ext uri="{63B3BB69-23CF-44E3-9099-C40C66FF867C}">
                  <a14:compatExt spid="_x0000_s27652"/>
                </a:ext>
                <a:ext uri="{FF2B5EF4-FFF2-40B4-BE49-F238E27FC236}">
                  <a16:creationId xmlns:a16="http://schemas.microsoft.com/office/drawing/2014/main" id="{00000000-0008-0000-0600-00000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27653" name="Check Box 5" hidden="1">
              <a:extLst>
                <a:ext uri="{63B3BB69-23CF-44E3-9099-C40C66FF867C}">
                  <a14:compatExt spid="_x0000_s27653"/>
                </a:ext>
                <a:ext uri="{FF2B5EF4-FFF2-40B4-BE49-F238E27FC236}">
                  <a16:creationId xmlns:a16="http://schemas.microsoft.com/office/drawing/2014/main" id="{00000000-0008-0000-0600-00000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27654" name="Check Box 6" hidden="1">
              <a:extLst>
                <a:ext uri="{63B3BB69-23CF-44E3-9099-C40C66FF867C}">
                  <a14:compatExt spid="_x0000_s27654"/>
                </a:ext>
                <a:ext uri="{FF2B5EF4-FFF2-40B4-BE49-F238E27FC236}">
                  <a16:creationId xmlns:a16="http://schemas.microsoft.com/office/drawing/2014/main" id="{00000000-0008-0000-0600-00000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6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6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6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6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6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6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6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6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7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7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7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7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7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7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28673" name="Check Box 1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07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28674" name="Check Box 2" hidden="1">
              <a:extLst>
                <a:ext uri="{63B3BB69-23CF-44E3-9099-C40C66FF867C}">
                  <a14:compatExt spid="_x0000_s28674"/>
                </a:ext>
                <a:ext uri="{FF2B5EF4-FFF2-40B4-BE49-F238E27FC236}">
                  <a16:creationId xmlns:a16="http://schemas.microsoft.com/office/drawing/2014/main" id="{00000000-0008-0000-0700-000002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28675" name="Check Box 3" hidden="1">
              <a:extLst>
                <a:ext uri="{63B3BB69-23CF-44E3-9099-C40C66FF867C}">
                  <a14:compatExt spid="_x0000_s28675"/>
                </a:ext>
                <a:ext uri="{FF2B5EF4-FFF2-40B4-BE49-F238E27FC236}">
                  <a16:creationId xmlns:a16="http://schemas.microsoft.com/office/drawing/2014/main" id="{00000000-0008-0000-0700-000003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28676" name="Check Box 4" hidden="1">
              <a:extLst>
                <a:ext uri="{63B3BB69-23CF-44E3-9099-C40C66FF867C}">
                  <a14:compatExt spid="_x0000_s28676"/>
                </a:ext>
                <a:ext uri="{FF2B5EF4-FFF2-40B4-BE49-F238E27FC236}">
                  <a16:creationId xmlns:a16="http://schemas.microsoft.com/office/drawing/2014/main" id="{00000000-0008-0000-0700-000004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28677" name="Check Box 5" hidden="1">
              <a:extLst>
                <a:ext uri="{63B3BB69-23CF-44E3-9099-C40C66FF867C}">
                  <a14:compatExt spid="_x0000_s28677"/>
                </a:ext>
                <a:ext uri="{FF2B5EF4-FFF2-40B4-BE49-F238E27FC236}">
                  <a16:creationId xmlns:a16="http://schemas.microsoft.com/office/drawing/2014/main" id="{00000000-0008-0000-0700-000005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28678" name="Check Box 6" hidden="1">
              <a:extLst>
                <a:ext uri="{63B3BB69-23CF-44E3-9099-C40C66FF867C}">
                  <a14:compatExt spid="_x0000_s28678"/>
                </a:ext>
                <a:ext uri="{FF2B5EF4-FFF2-40B4-BE49-F238E27FC236}">
                  <a16:creationId xmlns:a16="http://schemas.microsoft.com/office/drawing/2014/main" id="{00000000-0008-0000-0700-000006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7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7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7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7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7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7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7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7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8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8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8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8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8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29697" name="Check Box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08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29698" name="Check Box 2" hidden="1">
              <a:extLst>
                <a:ext uri="{63B3BB69-23CF-44E3-9099-C40C66FF867C}">
                  <a14:compatExt spid="_x0000_s29698"/>
                </a:ext>
                <a:ext uri="{FF2B5EF4-FFF2-40B4-BE49-F238E27FC236}">
                  <a16:creationId xmlns:a16="http://schemas.microsoft.com/office/drawing/2014/main" id="{00000000-0008-0000-0800-000002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29699" name="Check Box 3" hidden="1">
              <a:extLst>
                <a:ext uri="{63B3BB69-23CF-44E3-9099-C40C66FF867C}">
                  <a14:compatExt spid="_x0000_s29699"/>
                </a:ext>
                <a:ext uri="{FF2B5EF4-FFF2-40B4-BE49-F238E27FC236}">
                  <a16:creationId xmlns:a16="http://schemas.microsoft.com/office/drawing/2014/main" id="{00000000-0008-0000-0800-000003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29700" name="Check Box 4" hidden="1">
              <a:extLst>
                <a:ext uri="{63B3BB69-23CF-44E3-9099-C40C66FF867C}">
                  <a14:compatExt spid="_x0000_s29700"/>
                </a:ext>
                <a:ext uri="{FF2B5EF4-FFF2-40B4-BE49-F238E27FC236}">
                  <a16:creationId xmlns:a16="http://schemas.microsoft.com/office/drawing/2014/main" id="{00000000-0008-0000-0800-000004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29701" name="Check Box 5" hidden="1">
              <a:extLst>
                <a:ext uri="{63B3BB69-23CF-44E3-9099-C40C66FF867C}">
                  <a14:compatExt spid="_x0000_s29701"/>
                </a:ext>
                <a:ext uri="{FF2B5EF4-FFF2-40B4-BE49-F238E27FC236}">
                  <a16:creationId xmlns:a16="http://schemas.microsoft.com/office/drawing/2014/main" id="{00000000-0008-0000-0800-000005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29702" name="Check Box 6" hidden="1">
              <a:extLst>
                <a:ext uri="{63B3BB69-23CF-44E3-9099-C40C66FF867C}">
                  <a14:compatExt spid="_x0000_s29702"/>
                </a:ext>
                <a:ext uri="{FF2B5EF4-FFF2-40B4-BE49-F238E27FC236}">
                  <a16:creationId xmlns:a16="http://schemas.microsoft.com/office/drawing/2014/main" id="{00000000-0008-0000-0800-000006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8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8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8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8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8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8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8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8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9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9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9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9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9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9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9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9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30721" name="Check Box 1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09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30722" name="Check Box 2" hidden="1">
              <a:extLst>
                <a:ext uri="{63B3BB69-23CF-44E3-9099-C40C66FF867C}">
                  <a14:compatExt spid="_x0000_s30722"/>
                </a:ext>
                <a:ext uri="{FF2B5EF4-FFF2-40B4-BE49-F238E27FC236}">
                  <a16:creationId xmlns:a16="http://schemas.microsoft.com/office/drawing/2014/main" id="{00000000-0008-0000-0900-000002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30723" name="Check Box 3" hidden="1">
              <a:extLst>
                <a:ext uri="{63B3BB69-23CF-44E3-9099-C40C66FF867C}">
                  <a14:compatExt spid="_x0000_s30723"/>
                </a:ext>
                <a:ext uri="{FF2B5EF4-FFF2-40B4-BE49-F238E27FC236}">
                  <a16:creationId xmlns:a16="http://schemas.microsoft.com/office/drawing/2014/main" id="{00000000-0008-0000-0900-000003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30724" name="Check Box 4" hidden="1">
              <a:extLst>
                <a:ext uri="{63B3BB69-23CF-44E3-9099-C40C66FF867C}">
                  <a14:compatExt spid="_x0000_s30724"/>
                </a:ext>
                <a:ext uri="{FF2B5EF4-FFF2-40B4-BE49-F238E27FC236}">
                  <a16:creationId xmlns:a16="http://schemas.microsoft.com/office/drawing/2014/main" id="{00000000-0008-0000-0900-000004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30725" name="Check Box 5" hidden="1">
              <a:extLst>
                <a:ext uri="{63B3BB69-23CF-44E3-9099-C40C66FF867C}">
                  <a14:compatExt spid="_x0000_s30725"/>
                </a:ext>
                <a:ext uri="{FF2B5EF4-FFF2-40B4-BE49-F238E27FC236}">
                  <a16:creationId xmlns:a16="http://schemas.microsoft.com/office/drawing/2014/main" id="{00000000-0008-0000-0900-000005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30726" name="Check Box 6" hidden="1">
              <a:extLst>
                <a:ext uri="{63B3BB69-23CF-44E3-9099-C40C66FF867C}">
                  <a14:compatExt spid="_x0000_s30726"/>
                </a:ext>
                <a:ext uri="{FF2B5EF4-FFF2-40B4-BE49-F238E27FC236}">
                  <a16:creationId xmlns:a16="http://schemas.microsoft.com/office/drawing/2014/main" id="{00000000-0008-0000-0900-000006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9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9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9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9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9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9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9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9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10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A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A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A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A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A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A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A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31745" name="Check Box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A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31746" name="Check Box 2" hidden="1">
              <a:extLst>
                <a:ext uri="{63B3BB69-23CF-44E3-9099-C40C66FF867C}">
                  <a14:compatExt spid="_x0000_s31746"/>
                </a:ext>
                <a:ext uri="{FF2B5EF4-FFF2-40B4-BE49-F238E27FC236}">
                  <a16:creationId xmlns:a16="http://schemas.microsoft.com/office/drawing/2014/main" id="{00000000-0008-0000-0A00-000002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31747" name="Check Box 3" hidden="1">
              <a:extLst>
                <a:ext uri="{63B3BB69-23CF-44E3-9099-C40C66FF867C}">
                  <a14:compatExt spid="_x0000_s31747"/>
                </a:ext>
                <a:ext uri="{FF2B5EF4-FFF2-40B4-BE49-F238E27FC236}">
                  <a16:creationId xmlns:a16="http://schemas.microsoft.com/office/drawing/2014/main" id="{00000000-0008-0000-0A00-000003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31748" name="Check Box 4" hidden="1">
              <a:extLst>
                <a:ext uri="{63B3BB69-23CF-44E3-9099-C40C66FF867C}">
                  <a14:compatExt spid="_x0000_s31748"/>
                </a:ext>
                <a:ext uri="{FF2B5EF4-FFF2-40B4-BE49-F238E27FC236}">
                  <a16:creationId xmlns:a16="http://schemas.microsoft.com/office/drawing/2014/main" id="{00000000-0008-0000-0A00-000004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31749" name="Check Box 5" hidden="1">
              <a:extLst>
                <a:ext uri="{63B3BB69-23CF-44E3-9099-C40C66FF867C}">
                  <a14:compatExt spid="_x0000_s31749"/>
                </a:ext>
                <a:ext uri="{FF2B5EF4-FFF2-40B4-BE49-F238E27FC236}">
                  <a16:creationId xmlns:a16="http://schemas.microsoft.com/office/drawing/2014/main" id="{00000000-0008-0000-0A00-000005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31750" name="Check Box 6" hidden="1">
              <a:extLst>
                <a:ext uri="{63B3BB69-23CF-44E3-9099-C40C66FF867C}">
                  <a14:compatExt spid="_x0000_s31750"/>
                </a:ext>
                <a:ext uri="{FF2B5EF4-FFF2-40B4-BE49-F238E27FC236}">
                  <a16:creationId xmlns:a16="http://schemas.microsoft.com/office/drawing/2014/main" id="{00000000-0008-0000-0A00-000006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A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A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A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A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A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A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A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A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1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B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B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B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B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B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B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B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32769" name="Check Box 1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B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32770" name="Check Box 2" hidden="1">
              <a:extLst>
                <a:ext uri="{63B3BB69-23CF-44E3-9099-C40C66FF867C}">
                  <a14:compatExt spid="_x0000_s32770"/>
                </a:ext>
                <a:ext uri="{FF2B5EF4-FFF2-40B4-BE49-F238E27FC236}">
                  <a16:creationId xmlns:a16="http://schemas.microsoft.com/office/drawing/2014/main" id="{00000000-0008-0000-0B00-00000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32771" name="Check Box 3" hidden="1">
              <a:extLst>
                <a:ext uri="{63B3BB69-23CF-44E3-9099-C40C66FF867C}">
                  <a14:compatExt spid="_x0000_s32771"/>
                </a:ext>
                <a:ext uri="{FF2B5EF4-FFF2-40B4-BE49-F238E27FC236}">
                  <a16:creationId xmlns:a16="http://schemas.microsoft.com/office/drawing/2014/main" id="{00000000-0008-0000-0B00-00000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32772" name="Check Box 4" hidden="1">
              <a:extLst>
                <a:ext uri="{63B3BB69-23CF-44E3-9099-C40C66FF867C}">
                  <a14:compatExt spid="_x0000_s32772"/>
                </a:ext>
                <a:ext uri="{FF2B5EF4-FFF2-40B4-BE49-F238E27FC236}">
                  <a16:creationId xmlns:a16="http://schemas.microsoft.com/office/drawing/2014/main" id="{00000000-0008-0000-0B00-00000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32773" name="Check Box 5" hidden="1">
              <a:extLst>
                <a:ext uri="{63B3BB69-23CF-44E3-9099-C40C66FF867C}">
                  <a14:compatExt spid="_x0000_s32773"/>
                </a:ext>
                <a:ext uri="{FF2B5EF4-FFF2-40B4-BE49-F238E27FC236}">
                  <a16:creationId xmlns:a16="http://schemas.microsoft.com/office/drawing/2014/main" id="{00000000-0008-0000-0B00-00000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32774" name="Check Box 6" hidden="1">
              <a:extLst>
                <a:ext uri="{63B3BB69-23CF-44E3-9099-C40C66FF867C}">
                  <a14:compatExt spid="_x0000_s32774"/>
                </a:ext>
                <a:ext uri="{FF2B5EF4-FFF2-40B4-BE49-F238E27FC236}">
                  <a16:creationId xmlns:a16="http://schemas.microsoft.com/office/drawing/2014/main" id="{00000000-0008-0000-0B00-00000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B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B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B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B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B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B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B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B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1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C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C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C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C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C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C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C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33793" name="Check Box 1" hidden="1">
              <a:extLst>
                <a:ext uri="{63B3BB69-23CF-44E3-9099-C40C66FF867C}">
                  <a14:compatExt spid="_x0000_s33793"/>
                </a:ext>
                <a:ext uri="{FF2B5EF4-FFF2-40B4-BE49-F238E27FC236}">
                  <a16:creationId xmlns:a16="http://schemas.microsoft.com/office/drawing/2014/main" id="{00000000-0008-0000-0C00-000001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33794" name="Check Box 2" hidden="1">
              <a:extLst>
                <a:ext uri="{63B3BB69-23CF-44E3-9099-C40C66FF867C}">
                  <a14:compatExt spid="_x0000_s33794"/>
                </a:ext>
                <a:ext uri="{FF2B5EF4-FFF2-40B4-BE49-F238E27FC236}">
                  <a16:creationId xmlns:a16="http://schemas.microsoft.com/office/drawing/2014/main" id="{00000000-0008-0000-0C00-000002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33795" name="Check Box 3" hidden="1">
              <a:extLst>
                <a:ext uri="{63B3BB69-23CF-44E3-9099-C40C66FF867C}">
                  <a14:compatExt spid="_x0000_s33795"/>
                </a:ext>
                <a:ext uri="{FF2B5EF4-FFF2-40B4-BE49-F238E27FC236}">
                  <a16:creationId xmlns:a16="http://schemas.microsoft.com/office/drawing/2014/main" id="{00000000-0008-0000-0C00-000003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33796" name="Check Box 4" hidden="1">
              <a:extLst>
                <a:ext uri="{63B3BB69-23CF-44E3-9099-C40C66FF867C}">
                  <a14:compatExt spid="_x0000_s33796"/>
                </a:ext>
                <a:ext uri="{FF2B5EF4-FFF2-40B4-BE49-F238E27FC236}">
                  <a16:creationId xmlns:a16="http://schemas.microsoft.com/office/drawing/2014/main" id="{00000000-0008-0000-0C00-000004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33797" name="Check Box 5" hidden="1">
              <a:extLst>
                <a:ext uri="{63B3BB69-23CF-44E3-9099-C40C66FF867C}">
                  <a14:compatExt spid="_x0000_s33797"/>
                </a:ext>
                <a:ext uri="{FF2B5EF4-FFF2-40B4-BE49-F238E27FC236}">
                  <a16:creationId xmlns:a16="http://schemas.microsoft.com/office/drawing/2014/main" id="{00000000-0008-0000-0C00-000005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33798" name="Check Box 6" hidden="1">
              <a:extLst>
                <a:ext uri="{63B3BB69-23CF-44E3-9099-C40C66FF867C}">
                  <a14:compatExt spid="_x0000_s33798"/>
                </a:ext>
                <a:ext uri="{FF2B5EF4-FFF2-40B4-BE49-F238E27FC236}">
                  <a16:creationId xmlns:a16="http://schemas.microsoft.com/office/drawing/2014/main" id="{00000000-0008-0000-0C00-000006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C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C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C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C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C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C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C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C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1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D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D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D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D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D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D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D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34817" name="Check Box 1" hidden="1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0D00-00000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34818" name="Check Box 2" hidden="1">
              <a:extLst>
                <a:ext uri="{63B3BB69-23CF-44E3-9099-C40C66FF867C}">
                  <a14:compatExt spid="_x0000_s34818"/>
                </a:ext>
                <a:ext uri="{FF2B5EF4-FFF2-40B4-BE49-F238E27FC236}">
                  <a16:creationId xmlns:a16="http://schemas.microsoft.com/office/drawing/2014/main" id="{00000000-0008-0000-0D00-00000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34819" name="Check Box 3" hidden="1">
              <a:extLst>
                <a:ext uri="{63B3BB69-23CF-44E3-9099-C40C66FF867C}">
                  <a14:compatExt spid="_x0000_s34819"/>
                </a:ext>
                <a:ext uri="{FF2B5EF4-FFF2-40B4-BE49-F238E27FC236}">
                  <a16:creationId xmlns:a16="http://schemas.microsoft.com/office/drawing/2014/main" id="{00000000-0008-0000-0D00-00000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34820" name="Check Box 4" hidden="1">
              <a:extLst>
                <a:ext uri="{63B3BB69-23CF-44E3-9099-C40C66FF867C}">
                  <a14:compatExt spid="_x0000_s34820"/>
                </a:ext>
                <a:ext uri="{FF2B5EF4-FFF2-40B4-BE49-F238E27FC236}">
                  <a16:creationId xmlns:a16="http://schemas.microsoft.com/office/drawing/2014/main" id="{00000000-0008-0000-0D00-00000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34821" name="Check Box 5" hidden="1">
              <a:extLst>
                <a:ext uri="{63B3BB69-23CF-44E3-9099-C40C66FF867C}">
                  <a14:compatExt spid="_x0000_s34821"/>
                </a:ext>
                <a:ext uri="{FF2B5EF4-FFF2-40B4-BE49-F238E27FC236}">
                  <a16:creationId xmlns:a16="http://schemas.microsoft.com/office/drawing/2014/main" id="{00000000-0008-0000-0D00-00000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34822" name="Check Box 6" hidden="1">
              <a:extLst>
                <a:ext uri="{63B3BB69-23CF-44E3-9099-C40C66FF867C}">
                  <a14:compatExt spid="_x0000_s34822"/>
                </a:ext>
                <a:ext uri="{FF2B5EF4-FFF2-40B4-BE49-F238E27FC236}">
                  <a16:creationId xmlns:a16="http://schemas.microsoft.com/office/drawing/2014/main" id="{00000000-0008-0000-0D00-00000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D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D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D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D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D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D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D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D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14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E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E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E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E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E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E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E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35841" name="Check Box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0E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35842" name="Check Box 2" hidden="1">
              <a:extLst>
                <a:ext uri="{63B3BB69-23CF-44E3-9099-C40C66FF867C}">
                  <a14:compatExt spid="_x0000_s35842"/>
                </a:ext>
                <a:ext uri="{FF2B5EF4-FFF2-40B4-BE49-F238E27FC236}">
                  <a16:creationId xmlns:a16="http://schemas.microsoft.com/office/drawing/2014/main" id="{00000000-0008-0000-0E00-00000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35843" name="Check Box 3" hidden="1">
              <a:extLst>
                <a:ext uri="{63B3BB69-23CF-44E3-9099-C40C66FF867C}">
                  <a14:compatExt spid="_x0000_s35843"/>
                </a:ext>
                <a:ext uri="{FF2B5EF4-FFF2-40B4-BE49-F238E27FC236}">
                  <a16:creationId xmlns:a16="http://schemas.microsoft.com/office/drawing/2014/main" id="{00000000-0008-0000-0E00-00000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35844" name="Check Box 4" hidden="1">
              <a:extLst>
                <a:ext uri="{63B3BB69-23CF-44E3-9099-C40C66FF867C}">
                  <a14:compatExt spid="_x0000_s35844"/>
                </a:ext>
                <a:ext uri="{FF2B5EF4-FFF2-40B4-BE49-F238E27FC236}">
                  <a16:creationId xmlns:a16="http://schemas.microsoft.com/office/drawing/2014/main" id="{00000000-0008-0000-0E00-00000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35845" name="Check Box 5" hidden="1">
              <a:extLst>
                <a:ext uri="{63B3BB69-23CF-44E3-9099-C40C66FF867C}">
                  <a14:compatExt spid="_x0000_s35845"/>
                </a:ext>
                <a:ext uri="{FF2B5EF4-FFF2-40B4-BE49-F238E27FC236}">
                  <a16:creationId xmlns:a16="http://schemas.microsoft.com/office/drawing/2014/main" id="{00000000-0008-0000-0E00-00000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35846" name="Check Box 6" hidden="1">
              <a:extLst>
                <a:ext uri="{63B3BB69-23CF-44E3-9099-C40C66FF867C}">
                  <a14:compatExt spid="_x0000_s35846"/>
                </a:ext>
                <a:ext uri="{FF2B5EF4-FFF2-40B4-BE49-F238E27FC236}">
                  <a16:creationId xmlns:a16="http://schemas.microsoft.com/office/drawing/2014/main" id="{00000000-0008-0000-0E00-00000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E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E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E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E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E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E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E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E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15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F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F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F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F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F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F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F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36865" name="Check Box 1" hidden="1">
              <a:extLst>
                <a:ext uri="{63B3BB69-23CF-44E3-9099-C40C66FF867C}">
                  <a14:compatExt spid="_x0000_s36865"/>
                </a:ext>
                <a:ext uri="{FF2B5EF4-FFF2-40B4-BE49-F238E27FC236}">
                  <a16:creationId xmlns:a16="http://schemas.microsoft.com/office/drawing/2014/main" id="{00000000-0008-0000-0F00-00000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36866" name="Check Box 2" hidden="1">
              <a:extLst>
                <a:ext uri="{63B3BB69-23CF-44E3-9099-C40C66FF867C}">
                  <a14:compatExt spid="_x0000_s36866"/>
                </a:ext>
                <a:ext uri="{FF2B5EF4-FFF2-40B4-BE49-F238E27FC236}">
                  <a16:creationId xmlns:a16="http://schemas.microsoft.com/office/drawing/2014/main" id="{00000000-0008-0000-0F00-00000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36867" name="Check Box 3" hidden="1">
              <a:extLst>
                <a:ext uri="{63B3BB69-23CF-44E3-9099-C40C66FF867C}">
                  <a14:compatExt spid="_x0000_s36867"/>
                </a:ext>
                <a:ext uri="{FF2B5EF4-FFF2-40B4-BE49-F238E27FC236}">
                  <a16:creationId xmlns:a16="http://schemas.microsoft.com/office/drawing/2014/main" id="{00000000-0008-0000-0F00-00000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36868" name="Check Box 4" hidden="1">
              <a:extLst>
                <a:ext uri="{63B3BB69-23CF-44E3-9099-C40C66FF867C}">
                  <a14:compatExt spid="_x0000_s36868"/>
                </a:ext>
                <a:ext uri="{FF2B5EF4-FFF2-40B4-BE49-F238E27FC236}">
                  <a16:creationId xmlns:a16="http://schemas.microsoft.com/office/drawing/2014/main" id="{00000000-0008-0000-0F00-00000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36869" name="Check Box 5" hidden="1">
              <a:extLst>
                <a:ext uri="{63B3BB69-23CF-44E3-9099-C40C66FF867C}">
                  <a14:compatExt spid="_x0000_s36869"/>
                </a:ext>
                <a:ext uri="{FF2B5EF4-FFF2-40B4-BE49-F238E27FC236}">
                  <a16:creationId xmlns:a16="http://schemas.microsoft.com/office/drawing/2014/main" id="{00000000-0008-0000-0F00-00000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36870" name="Check Box 6" hidden="1">
              <a:extLst>
                <a:ext uri="{63B3BB69-23CF-44E3-9099-C40C66FF867C}">
                  <a14:compatExt spid="_x0000_s36870"/>
                </a:ext>
                <a:ext uri="{FF2B5EF4-FFF2-40B4-BE49-F238E27FC236}">
                  <a16:creationId xmlns:a16="http://schemas.microsoft.com/office/drawing/2014/main" id="{00000000-0008-0000-0F00-00000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F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F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F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F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F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F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F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F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0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openxmlformats.org/officeDocument/2006/relationships/ctrlProp" Target="../ctrlProps/ctrlProp1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7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16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Relationship Id="rId9" Type="http://schemas.openxmlformats.org/officeDocument/2006/relationships/ctrlProp" Target="../ctrlProps/ctrlProp18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3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22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1.xml"/><Relationship Id="rId5" Type="http://schemas.openxmlformats.org/officeDocument/2006/relationships/ctrlProp" Target="../ctrlProps/ctrlProp20.xml"/><Relationship Id="rId4" Type="http://schemas.openxmlformats.org/officeDocument/2006/relationships/ctrlProp" Target="../ctrlProps/ctrlProp19.xml"/><Relationship Id="rId9" Type="http://schemas.openxmlformats.org/officeDocument/2006/relationships/ctrlProp" Target="../ctrlProps/ctrlProp24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9.xml"/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28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27.xml"/><Relationship Id="rId5" Type="http://schemas.openxmlformats.org/officeDocument/2006/relationships/ctrlProp" Target="../ctrlProps/ctrlProp26.xml"/><Relationship Id="rId4" Type="http://schemas.openxmlformats.org/officeDocument/2006/relationships/ctrlProp" Target="../ctrlProps/ctrlProp25.xml"/><Relationship Id="rId9" Type="http://schemas.openxmlformats.org/officeDocument/2006/relationships/ctrlProp" Target="../ctrlProps/ctrlProp30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5.xml"/><Relationship Id="rId3" Type="http://schemas.openxmlformats.org/officeDocument/2006/relationships/vmlDrawing" Target="../drawings/vmlDrawing6.vml"/><Relationship Id="rId7" Type="http://schemas.openxmlformats.org/officeDocument/2006/relationships/ctrlProp" Target="../ctrlProps/ctrlProp34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33.xml"/><Relationship Id="rId5" Type="http://schemas.openxmlformats.org/officeDocument/2006/relationships/ctrlProp" Target="../ctrlProps/ctrlProp32.xml"/><Relationship Id="rId4" Type="http://schemas.openxmlformats.org/officeDocument/2006/relationships/ctrlProp" Target="../ctrlProps/ctrlProp31.xml"/><Relationship Id="rId9" Type="http://schemas.openxmlformats.org/officeDocument/2006/relationships/ctrlProp" Target="../ctrlProps/ctrlProp36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1.xml"/><Relationship Id="rId3" Type="http://schemas.openxmlformats.org/officeDocument/2006/relationships/vmlDrawing" Target="../drawings/vmlDrawing7.vml"/><Relationship Id="rId7" Type="http://schemas.openxmlformats.org/officeDocument/2006/relationships/ctrlProp" Target="../ctrlProps/ctrlProp40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39.xml"/><Relationship Id="rId5" Type="http://schemas.openxmlformats.org/officeDocument/2006/relationships/ctrlProp" Target="../ctrlProps/ctrlProp38.xml"/><Relationship Id="rId4" Type="http://schemas.openxmlformats.org/officeDocument/2006/relationships/ctrlProp" Target="../ctrlProps/ctrlProp37.xml"/><Relationship Id="rId9" Type="http://schemas.openxmlformats.org/officeDocument/2006/relationships/ctrlProp" Target="../ctrlProps/ctrlProp42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7.xml"/><Relationship Id="rId3" Type="http://schemas.openxmlformats.org/officeDocument/2006/relationships/vmlDrawing" Target="../drawings/vmlDrawing8.vml"/><Relationship Id="rId7" Type="http://schemas.openxmlformats.org/officeDocument/2006/relationships/ctrlProp" Target="../ctrlProps/ctrlProp46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45.xml"/><Relationship Id="rId5" Type="http://schemas.openxmlformats.org/officeDocument/2006/relationships/ctrlProp" Target="../ctrlProps/ctrlProp44.xml"/><Relationship Id="rId4" Type="http://schemas.openxmlformats.org/officeDocument/2006/relationships/ctrlProp" Target="../ctrlProps/ctrlProp43.xml"/><Relationship Id="rId9" Type="http://schemas.openxmlformats.org/officeDocument/2006/relationships/ctrlProp" Target="../ctrlProps/ctrlProp48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3.xml"/><Relationship Id="rId3" Type="http://schemas.openxmlformats.org/officeDocument/2006/relationships/vmlDrawing" Target="../drawings/vmlDrawing9.vml"/><Relationship Id="rId7" Type="http://schemas.openxmlformats.org/officeDocument/2006/relationships/ctrlProp" Target="../ctrlProps/ctrlProp52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51.xml"/><Relationship Id="rId5" Type="http://schemas.openxmlformats.org/officeDocument/2006/relationships/ctrlProp" Target="../ctrlProps/ctrlProp50.xml"/><Relationship Id="rId4" Type="http://schemas.openxmlformats.org/officeDocument/2006/relationships/ctrlProp" Target="../ctrlProps/ctrlProp49.xml"/><Relationship Id="rId9" Type="http://schemas.openxmlformats.org/officeDocument/2006/relationships/ctrlProp" Target="../ctrlProps/ctrlProp54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9.xml"/><Relationship Id="rId3" Type="http://schemas.openxmlformats.org/officeDocument/2006/relationships/vmlDrawing" Target="../drawings/vmlDrawing10.vml"/><Relationship Id="rId7" Type="http://schemas.openxmlformats.org/officeDocument/2006/relationships/ctrlProp" Target="../ctrlProps/ctrlProp58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57.xml"/><Relationship Id="rId5" Type="http://schemas.openxmlformats.org/officeDocument/2006/relationships/ctrlProp" Target="../ctrlProps/ctrlProp56.xml"/><Relationship Id="rId4" Type="http://schemas.openxmlformats.org/officeDocument/2006/relationships/ctrlProp" Target="../ctrlProps/ctrlProp55.xml"/><Relationship Id="rId9" Type="http://schemas.openxmlformats.org/officeDocument/2006/relationships/ctrlProp" Target="../ctrlProps/ctrlProp60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5.xml"/><Relationship Id="rId3" Type="http://schemas.openxmlformats.org/officeDocument/2006/relationships/vmlDrawing" Target="../drawings/vmlDrawing11.vml"/><Relationship Id="rId7" Type="http://schemas.openxmlformats.org/officeDocument/2006/relationships/ctrlProp" Target="../ctrlProps/ctrlProp64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63.xml"/><Relationship Id="rId5" Type="http://schemas.openxmlformats.org/officeDocument/2006/relationships/ctrlProp" Target="../ctrlProps/ctrlProp62.xml"/><Relationship Id="rId4" Type="http://schemas.openxmlformats.org/officeDocument/2006/relationships/ctrlProp" Target="../ctrlProps/ctrlProp61.xml"/><Relationship Id="rId9" Type="http://schemas.openxmlformats.org/officeDocument/2006/relationships/ctrlProp" Target="../ctrlProps/ctrlProp66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1.xml"/><Relationship Id="rId3" Type="http://schemas.openxmlformats.org/officeDocument/2006/relationships/vmlDrawing" Target="../drawings/vmlDrawing12.vml"/><Relationship Id="rId7" Type="http://schemas.openxmlformats.org/officeDocument/2006/relationships/ctrlProp" Target="../ctrlProps/ctrlProp70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Relationship Id="rId6" Type="http://schemas.openxmlformats.org/officeDocument/2006/relationships/ctrlProp" Target="../ctrlProps/ctrlProp69.xml"/><Relationship Id="rId5" Type="http://schemas.openxmlformats.org/officeDocument/2006/relationships/ctrlProp" Target="../ctrlProps/ctrlProp68.xml"/><Relationship Id="rId4" Type="http://schemas.openxmlformats.org/officeDocument/2006/relationships/ctrlProp" Target="../ctrlProps/ctrlProp67.xml"/><Relationship Id="rId9" Type="http://schemas.openxmlformats.org/officeDocument/2006/relationships/ctrlProp" Target="../ctrlProps/ctrlProp72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7.xml"/><Relationship Id="rId3" Type="http://schemas.openxmlformats.org/officeDocument/2006/relationships/vmlDrawing" Target="../drawings/vmlDrawing13.vml"/><Relationship Id="rId7" Type="http://schemas.openxmlformats.org/officeDocument/2006/relationships/ctrlProp" Target="../ctrlProps/ctrlProp76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4.bin"/><Relationship Id="rId6" Type="http://schemas.openxmlformats.org/officeDocument/2006/relationships/ctrlProp" Target="../ctrlProps/ctrlProp75.xml"/><Relationship Id="rId5" Type="http://schemas.openxmlformats.org/officeDocument/2006/relationships/ctrlProp" Target="../ctrlProps/ctrlProp74.xml"/><Relationship Id="rId4" Type="http://schemas.openxmlformats.org/officeDocument/2006/relationships/ctrlProp" Target="../ctrlProps/ctrlProp73.xml"/><Relationship Id="rId9" Type="http://schemas.openxmlformats.org/officeDocument/2006/relationships/ctrlProp" Target="../ctrlProps/ctrlProp78.xml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3.xml"/><Relationship Id="rId3" Type="http://schemas.openxmlformats.org/officeDocument/2006/relationships/vmlDrawing" Target="../drawings/vmlDrawing14.vml"/><Relationship Id="rId7" Type="http://schemas.openxmlformats.org/officeDocument/2006/relationships/ctrlProp" Target="../ctrlProps/ctrlProp82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5.bin"/><Relationship Id="rId6" Type="http://schemas.openxmlformats.org/officeDocument/2006/relationships/ctrlProp" Target="../ctrlProps/ctrlProp81.xml"/><Relationship Id="rId5" Type="http://schemas.openxmlformats.org/officeDocument/2006/relationships/ctrlProp" Target="../ctrlProps/ctrlProp80.xml"/><Relationship Id="rId4" Type="http://schemas.openxmlformats.org/officeDocument/2006/relationships/ctrlProp" Target="../ctrlProps/ctrlProp79.xml"/><Relationship Id="rId9" Type="http://schemas.openxmlformats.org/officeDocument/2006/relationships/ctrlProp" Target="../ctrlProps/ctrlProp84.xml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9.xml"/><Relationship Id="rId3" Type="http://schemas.openxmlformats.org/officeDocument/2006/relationships/vmlDrawing" Target="../drawings/vmlDrawing15.vml"/><Relationship Id="rId7" Type="http://schemas.openxmlformats.org/officeDocument/2006/relationships/ctrlProp" Target="../ctrlProps/ctrlProp88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6.bin"/><Relationship Id="rId6" Type="http://schemas.openxmlformats.org/officeDocument/2006/relationships/ctrlProp" Target="../ctrlProps/ctrlProp87.xml"/><Relationship Id="rId5" Type="http://schemas.openxmlformats.org/officeDocument/2006/relationships/ctrlProp" Target="../ctrlProps/ctrlProp86.xml"/><Relationship Id="rId4" Type="http://schemas.openxmlformats.org/officeDocument/2006/relationships/ctrlProp" Target="../ctrlProps/ctrlProp85.xml"/><Relationship Id="rId9" Type="http://schemas.openxmlformats.org/officeDocument/2006/relationships/ctrlProp" Target="../ctrlProps/ctrlProp9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20036E-C1E5-4A84-9EED-532B71567F88}">
  <sheetPr codeName="Sheet21"/>
  <dimension ref="A1:K74"/>
  <sheetViews>
    <sheetView workbookViewId="0">
      <selection activeCell="B20" sqref="B20"/>
    </sheetView>
  </sheetViews>
  <sheetFormatPr defaultRowHeight="15" x14ac:dyDescent="0.25"/>
  <cols>
    <col min="1" max="1" width="27.42578125" bestFit="1" customWidth="1"/>
    <col min="2" max="3" width="15.7109375" customWidth="1"/>
    <col min="4" max="4" width="9.140625" style="61" customWidth="1"/>
    <col min="5" max="5" width="4" customWidth="1"/>
    <col min="6" max="6" width="24" style="62" customWidth="1"/>
    <col min="7" max="10" width="9.140625" style="65"/>
  </cols>
  <sheetData>
    <row r="1" spans="1:11" ht="15.75" customHeight="1" thickBot="1" x14ac:dyDescent="0.3"/>
    <row r="2" spans="1:11" ht="15.75" customHeight="1" x14ac:dyDescent="0.25">
      <c r="A2" s="72" t="s">
        <v>3</v>
      </c>
      <c r="B2" s="154" t="s">
        <v>93</v>
      </c>
      <c r="E2" s="84" t="s">
        <v>84</v>
      </c>
      <c r="F2" s="84" t="s">
        <v>85</v>
      </c>
      <c r="G2" s="83" t="s">
        <v>86</v>
      </c>
      <c r="H2" s="83"/>
      <c r="I2" s="83"/>
      <c r="J2" s="83"/>
    </row>
    <row r="3" spans="1:11" ht="15" customHeight="1" x14ac:dyDescent="0.25">
      <c r="A3" s="92" t="s">
        <v>62</v>
      </c>
      <c r="B3" s="92"/>
      <c r="E3" s="84"/>
      <c r="F3" s="85"/>
      <c r="G3" s="66" t="s">
        <v>70</v>
      </c>
      <c r="H3" s="67" t="s">
        <v>78</v>
      </c>
      <c r="I3" s="68" t="s">
        <v>13</v>
      </c>
      <c r="J3" s="69" t="s">
        <v>71</v>
      </c>
    </row>
    <row r="4" spans="1:11" ht="15.75" customHeight="1" x14ac:dyDescent="0.25">
      <c r="A4" s="57" t="s">
        <v>63</v>
      </c>
      <c r="B4" s="46" t="b">
        <v>0</v>
      </c>
      <c r="E4" s="63">
        <v>1</v>
      </c>
      <c r="F4" s="64">
        <v>2025020011</v>
      </c>
      <c r="G4" s="70">
        <v>6.8579999999999997</v>
      </c>
      <c r="H4" s="70">
        <v>2.5870000000000002</v>
      </c>
      <c r="I4" s="70">
        <v>9.5060000000000002</v>
      </c>
      <c r="J4" s="70">
        <v>128.02099999999999</v>
      </c>
      <c r="K4" s="61"/>
    </row>
    <row r="5" spans="1:11" x14ac:dyDescent="0.25">
      <c r="A5" s="78" t="s">
        <v>64</v>
      </c>
      <c r="B5" s="79" t="b">
        <v>1</v>
      </c>
      <c r="E5" s="63">
        <v>2</v>
      </c>
      <c r="F5" s="64"/>
      <c r="G5" s="70"/>
      <c r="H5" s="70"/>
      <c r="I5" s="70"/>
      <c r="J5" s="70"/>
      <c r="K5" s="61"/>
    </row>
    <row r="6" spans="1:11" x14ac:dyDescent="0.25">
      <c r="A6" s="92" t="s">
        <v>65</v>
      </c>
      <c r="B6" s="92"/>
      <c r="E6" s="63">
        <v>3</v>
      </c>
      <c r="F6" s="64"/>
      <c r="G6" s="70"/>
      <c r="H6" s="70"/>
      <c r="I6" s="70"/>
      <c r="J6" s="70"/>
      <c r="K6" s="61"/>
    </row>
    <row r="7" spans="1:11" x14ac:dyDescent="0.25">
      <c r="A7" s="57" t="s">
        <v>66</v>
      </c>
      <c r="B7" s="58" t="b">
        <v>1</v>
      </c>
      <c r="E7" s="63">
        <v>4</v>
      </c>
      <c r="F7" s="64"/>
      <c r="G7" s="70"/>
      <c r="H7" s="70"/>
      <c r="I7" s="70"/>
      <c r="J7" s="70"/>
      <c r="K7" s="61"/>
    </row>
    <row r="8" spans="1:11" x14ac:dyDescent="0.25">
      <c r="A8" s="78" t="s">
        <v>82</v>
      </c>
      <c r="B8" s="79" t="b">
        <v>0</v>
      </c>
      <c r="E8" s="63">
        <v>5</v>
      </c>
      <c r="F8" s="64"/>
      <c r="G8" s="70"/>
      <c r="H8" s="70"/>
      <c r="I8" s="70"/>
      <c r="J8" s="70"/>
      <c r="K8" s="61"/>
    </row>
    <row r="9" spans="1:11" x14ac:dyDescent="0.25">
      <c r="A9" s="92" t="s">
        <v>67</v>
      </c>
      <c r="B9" s="92"/>
      <c r="E9" s="63">
        <v>6</v>
      </c>
      <c r="F9" s="64"/>
      <c r="G9" s="70"/>
      <c r="H9" s="70"/>
      <c r="I9" s="70"/>
      <c r="J9" s="70"/>
      <c r="K9" s="61"/>
    </row>
    <row r="10" spans="1:11" x14ac:dyDescent="0.25">
      <c r="A10" s="57" t="s">
        <v>68</v>
      </c>
      <c r="B10" s="58" t="b">
        <v>1</v>
      </c>
      <c r="E10" s="63">
        <v>7</v>
      </c>
      <c r="F10" s="64"/>
      <c r="G10" s="70"/>
      <c r="H10" s="70"/>
      <c r="I10" s="70"/>
      <c r="J10" s="70"/>
      <c r="K10" s="61"/>
    </row>
    <row r="11" spans="1:11" ht="15.75" customHeight="1" thickBot="1" x14ac:dyDescent="0.3">
      <c r="A11" s="48" t="s">
        <v>69</v>
      </c>
      <c r="B11" s="59" t="b">
        <v>0</v>
      </c>
      <c r="E11" s="63">
        <v>8</v>
      </c>
      <c r="F11" s="64"/>
      <c r="G11" s="70"/>
      <c r="H11" s="70"/>
      <c r="I11" s="70"/>
      <c r="J11" s="70"/>
      <c r="K11" s="61"/>
    </row>
    <row r="12" spans="1:11" ht="15" customHeight="1" x14ac:dyDescent="0.25">
      <c r="A12" s="86" t="s">
        <v>41</v>
      </c>
      <c r="B12" s="88" t="s">
        <v>76</v>
      </c>
      <c r="C12" s="90" t="s">
        <v>77</v>
      </c>
      <c r="E12" s="63">
        <v>9</v>
      </c>
      <c r="F12" s="64"/>
      <c r="G12" s="70"/>
      <c r="H12" s="70"/>
      <c r="I12" s="70"/>
      <c r="J12" s="70"/>
      <c r="K12" s="61"/>
    </row>
    <row r="13" spans="1:11" s="39" customFormat="1" ht="15" customHeight="1" x14ac:dyDescent="0.25">
      <c r="A13" s="87"/>
      <c r="B13" s="89"/>
      <c r="C13" s="91"/>
      <c r="D13" s="61"/>
      <c r="E13" s="63">
        <v>10</v>
      </c>
      <c r="F13" s="64"/>
      <c r="G13" s="70"/>
      <c r="H13" s="70"/>
      <c r="I13" s="70"/>
      <c r="J13" s="70"/>
      <c r="K13" s="61"/>
    </row>
    <row r="14" spans="1:11" ht="15.75" customHeight="1" x14ac:dyDescent="0.25">
      <c r="A14" s="74" t="s">
        <v>70</v>
      </c>
      <c r="B14" s="80" t="s">
        <v>88</v>
      </c>
      <c r="C14" s="50">
        <v>46356</v>
      </c>
      <c r="E14" s="63">
        <v>11</v>
      </c>
      <c r="F14" s="64"/>
      <c r="G14" s="70"/>
      <c r="H14" s="70"/>
      <c r="I14" s="70"/>
      <c r="J14" s="70"/>
      <c r="K14" s="61"/>
    </row>
    <row r="15" spans="1:11" x14ac:dyDescent="0.25">
      <c r="A15" s="75" t="s">
        <v>13</v>
      </c>
      <c r="B15" s="80" t="s">
        <v>89</v>
      </c>
      <c r="C15" s="50">
        <v>46173</v>
      </c>
      <c r="E15" s="63">
        <v>12</v>
      </c>
      <c r="F15" s="64"/>
      <c r="G15" s="70"/>
      <c r="H15" s="70"/>
      <c r="I15" s="70"/>
      <c r="J15" s="70"/>
    </row>
    <row r="16" spans="1:11" ht="15" customHeight="1" x14ac:dyDescent="0.25">
      <c r="A16" s="76" t="s">
        <v>71</v>
      </c>
      <c r="B16" s="80" t="s">
        <v>91</v>
      </c>
      <c r="C16" s="50">
        <v>46203</v>
      </c>
      <c r="E16" s="63">
        <v>13</v>
      </c>
      <c r="F16" s="64"/>
      <c r="G16" s="70"/>
      <c r="H16" s="70"/>
      <c r="I16" s="70"/>
      <c r="J16" s="70"/>
    </row>
    <row r="17" spans="1:10" ht="15.75" customHeight="1" thickBot="1" x14ac:dyDescent="0.3">
      <c r="A17" s="77" t="s">
        <v>83</v>
      </c>
      <c r="B17" s="81" t="s">
        <v>90</v>
      </c>
      <c r="C17" s="51">
        <v>46691</v>
      </c>
      <c r="E17" s="63">
        <v>14</v>
      </c>
      <c r="F17" s="64"/>
      <c r="G17" s="70"/>
      <c r="H17" s="70"/>
      <c r="I17" s="70"/>
      <c r="J17" s="70"/>
    </row>
    <row r="18" spans="1:10" ht="15" customHeight="1" x14ac:dyDescent="0.25">
      <c r="A18" s="73" t="s">
        <v>79</v>
      </c>
      <c r="B18" s="52"/>
      <c r="C18" s="53"/>
      <c r="E18" s="63">
        <v>15</v>
      </c>
      <c r="F18" s="64"/>
      <c r="G18" s="70"/>
      <c r="H18" s="70"/>
      <c r="I18" s="70"/>
      <c r="J18" s="70"/>
    </row>
    <row r="19" spans="1:10" ht="15.75" customHeight="1" x14ac:dyDescent="0.25">
      <c r="A19" s="54" t="s">
        <v>80</v>
      </c>
      <c r="B19" s="82" t="s">
        <v>92</v>
      </c>
      <c r="C19" s="55"/>
    </row>
    <row r="20" spans="1:10" ht="15.75" thickBot="1" x14ac:dyDescent="0.3">
      <c r="A20" s="49" t="s">
        <v>81</v>
      </c>
      <c r="B20" s="56">
        <v>45700</v>
      </c>
      <c r="C20" s="47"/>
    </row>
    <row r="21" spans="1:10" ht="15" customHeight="1" x14ac:dyDescent="0.25"/>
    <row r="22" spans="1:10" ht="15" customHeight="1" x14ac:dyDescent="0.25">
      <c r="B22" s="71"/>
    </row>
    <row r="23" spans="1:10" ht="15" customHeight="1" x14ac:dyDescent="0.25">
      <c r="B23" s="71"/>
    </row>
    <row r="24" spans="1:10" ht="15.75" customHeight="1" x14ac:dyDescent="0.25"/>
    <row r="26" spans="1:10" ht="15" customHeight="1" x14ac:dyDescent="0.25"/>
    <row r="27" spans="1:10" ht="15" customHeight="1" x14ac:dyDescent="0.25"/>
    <row r="28" spans="1:10" ht="15" customHeight="1" x14ac:dyDescent="0.25"/>
    <row r="29" spans="1:10" ht="15.75" customHeight="1" x14ac:dyDescent="0.25"/>
    <row r="31" spans="1:10" ht="15" customHeight="1" x14ac:dyDescent="0.25"/>
    <row r="32" spans="1:10" ht="15" customHeight="1" x14ac:dyDescent="0.25"/>
    <row r="33" ht="15" customHeight="1" x14ac:dyDescent="0.25"/>
    <row r="34" ht="15.75" customHeight="1" x14ac:dyDescent="0.25"/>
    <row r="36" ht="15" customHeight="1" x14ac:dyDescent="0.25"/>
    <row r="37" ht="15" customHeight="1" x14ac:dyDescent="0.25"/>
    <row r="38" ht="15" customHeight="1" x14ac:dyDescent="0.25"/>
    <row r="39" ht="15.75" customHeight="1" x14ac:dyDescent="0.25"/>
    <row r="41" ht="15" customHeight="1" x14ac:dyDescent="0.25"/>
    <row r="42" ht="15" customHeight="1" x14ac:dyDescent="0.25"/>
    <row r="43" ht="15" customHeight="1" x14ac:dyDescent="0.25"/>
    <row r="44" ht="15.75" customHeight="1" x14ac:dyDescent="0.25"/>
    <row r="46" ht="15" customHeight="1" x14ac:dyDescent="0.25"/>
    <row r="47" ht="15" customHeight="1" x14ac:dyDescent="0.25"/>
    <row r="48" ht="15" customHeight="1" x14ac:dyDescent="0.25"/>
    <row r="49" spans="5:5" ht="15.75" customHeight="1" x14ac:dyDescent="0.25"/>
    <row r="50" spans="5:5" x14ac:dyDescent="0.25">
      <c r="E50" s="60"/>
    </row>
    <row r="51" spans="5:5" ht="15" customHeight="1" x14ac:dyDescent="0.25"/>
    <row r="52" spans="5:5" ht="15" customHeight="1" x14ac:dyDescent="0.25"/>
    <row r="53" spans="5:5" ht="15" customHeight="1" x14ac:dyDescent="0.25"/>
    <row r="54" spans="5:5" ht="15.75" customHeight="1" x14ac:dyDescent="0.25"/>
    <row r="56" spans="5:5" ht="15" customHeight="1" x14ac:dyDescent="0.25"/>
    <row r="57" spans="5:5" ht="15" customHeight="1" x14ac:dyDescent="0.25"/>
    <row r="58" spans="5:5" ht="15" customHeight="1" x14ac:dyDescent="0.25"/>
    <row r="59" spans="5:5" ht="15.75" customHeight="1" x14ac:dyDescent="0.25"/>
    <row r="61" spans="5:5" ht="15" customHeight="1" x14ac:dyDescent="0.25"/>
    <row r="62" spans="5:5" ht="15" customHeight="1" x14ac:dyDescent="0.25"/>
    <row r="63" spans="5:5" ht="15" customHeight="1" x14ac:dyDescent="0.25"/>
    <row r="64" spans="5:5" ht="15.75" customHeight="1" x14ac:dyDescent="0.25"/>
    <row r="66" ht="15" customHeight="1" x14ac:dyDescent="0.25"/>
    <row r="67" ht="15" customHeight="1" x14ac:dyDescent="0.25"/>
    <row r="68" ht="15" customHeight="1" x14ac:dyDescent="0.25"/>
    <row r="69" ht="15.75" customHeight="1" x14ac:dyDescent="0.25"/>
    <row r="71" ht="15" customHeight="1" x14ac:dyDescent="0.25"/>
    <row r="72" ht="15" customHeight="1" x14ac:dyDescent="0.25"/>
    <row r="73" ht="15" customHeight="1" x14ac:dyDescent="0.25"/>
    <row r="74" ht="15.75" customHeight="1" x14ac:dyDescent="0.25"/>
  </sheetData>
  <mergeCells count="9">
    <mergeCell ref="G2:J2"/>
    <mergeCell ref="F2:F3"/>
    <mergeCell ref="E2:E3"/>
    <mergeCell ref="A12:A13"/>
    <mergeCell ref="B12:B13"/>
    <mergeCell ref="C12:C13"/>
    <mergeCell ref="A3:B3"/>
    <mergeCell ref="A6:B6"/>
    <mergeCell ref="A9:B9"/>
  </mergeCells>
  <conditionalFormatting sqref="B4">
    <cfRule type="cellIs" dxfId="22" priority="7" operator="equal">
      <formula>"Sila Pilih"</formula>
    </cfRule>
    <cfRule type="cellIs" dxfId="21" priority="99" operator="equal">
      <formula>FALSE</formula>
    </cfRule>
    <cfRule type="cellIs" dxfId="20" priority="100" operator="equal">
      <formula>TRUE</formula>
    </cfRule>
  </conditionalFormatting>
  <conditionalFormatting sqref="B5">
    <cfRule type="cellIs" dxfId="19" priority="6" operator="equal">
      <formula>"Sila Pilih"</formula>
    </cfRule>
    <cfRule type="cellIs" dxfId="18" priority="97" operator="equal">
      <formula>FALSE</formula>
    </cfRule>
    <cfRule type="cellIs" dxfId="17" priority="98" operator="equal">
      <formula>TRUE</formula>
    </cfRule>
  </conditionalFormatting>
  <conditionalFormatting sqref="B7">
    <cfRule type="cellIs" dxfId="16" priority="5" operator="equal">
      <formula>"Sila Pilih"</formula>
    </cfRule>
    <cfRule type="cellIs" dxfId="15" priority="95" operator="equal">
      <formula>FALSE</formula>
    </cfRule>
    <cfRule type="cellIs" dxfId="14" priority="96" operator="equal">
      <formula>TRUE</formula>
    </cfRule>
  </conditionalFormatting>
  <conditionalFormatting sqref="B8">
    <cfRule type="cellIs" dxfId="13" priority="4" operator="equal">
      <formula>"Sila Pilih"</formula>
    </cfRule>
    <cfRule type="cellIs" dxfId="12" priority="93" operator="equal">
      <formula>FALSE</formula>
    </cfRule>
    <cfRule type="cellIs" dxfId="11" priority="94" operator="equal">
      <formula>TRUE</formula>
    </cfRule>
  </conditionalFormatting>
  <conditionalFormatting sqref="B10">
    <cfRule type="cellIs" dxfId="10" priority="3" operator="equal">
      <formula>"Sila Pilih"</formula>
    </cfRule>
    <cfRule type="cellIs" dxfId="9" priority="91" operator="equal">
      <formula>FALSE</formula>
    </cfRule>
    <cfRule type="cellIs" dxfId="8" priority="92" operator="equal">
      <formula>TRUE</formula>
    </cfRule>
  </conditionalFormatting>
  <conditionalFormatting sqref="B11">
    <cfRule type="cellIs" dxfId="7" priority="2" operator="equal">
      <formula>"Sila Pilih"</formula>
    </cfRule>
    <cfRule type="cellIs" dxfId="6" priority="89" operator="equal">
      <formula>FALSE</formula>
    </cfRule>
    <cfRule type="cellIs" dxfId="5" priority="90" operator="equal">
      <formula>TRUE</formula>
    </cfRule>
  </conditionalFormatting>
  <conditionalFormatting sqref="B2">
    <cfRule type="expression" dxfId="4" priority="88">
      <formula>LEN(B2)=0</formula>
    </cfRule>
  </conditionalFormatting>
  <conditionalFormatting sqref="B14:C17">
    <cfRule type="expression" dxfId="3" priority="87">
      <formula>LEN(B14:C17)=0</formula>
    </cfRule>
  </conditionalFormatting>
  <conditionalFormatting sqref="B19">
    <cfRule type="expression" dxfId="2" priority="86">
      <formula>LEN(B19)=0</formula>
    </cfRule>
  </conditionalFormatting>
  <conditionalFormatting sqref="B20">
    <cfRule type="expression" dxfId="1" priority="85">
      <formula>LEN(B20)=0</formula>
    </cfRule>
  </conditionalFormatting>
  <conditionalFormatting sqref="F4:J18">
    <cfRule type="expression" dxfId="0" priority="1">
      <formula>LEN(F4)=0</formula>
    </cfRule>
  </conditionalFormatting>
  <dataValidations count="2">
    <dataValidation type="list" allowBlank="1" showInputMessage="1" showErrorMessage="1" sqref="B11 B5 B7" xr:uid="{2C910534-D672-4BED-A0C2-857ABA2996F3}">
      <formula1>"Sila Pilih, TRUE,FALSE"</formula1>
    </dataValidation>
    <dataValidation type="list" allowBlank="1" showInputMessage="1" showErrorMessage="1" sqref="B4 B8 B10" xr:uid="{6E09E8F8-156D-4273-A18F-08791918021B}">
      <formula1>"Sila Pilih,TRUE,FALSE"</formula1>
    </dataValidation>
  </dataValidation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579"/>
  <sheetViews>
    <sheetView tabSelected="1" view="pageLayout" zoomScale="112" zoomScaleNormal="100" zoomScalePageLayoutView="112" workbookViewId="0">
      <selection activeCell="G7" sqref="G7:J7"/>
    </sheetView>
  </sheetViews>
  <sheetFormatPr defaultColWidth="14.42578125" defaultRowHeight="15" customHeight="1" x14ac:dyDescent="0.25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 x14ac:dyDescent="0.25">
      <c r="A1" s="123" t="s">
        <v>0</v>
      </c>
      <c r="B1" s="124"/>
      <c r="C1" s="124"/>
      <c r="D1" s="124"/>
      <c r="E1" s="124"/>
      <c r="F1" s="124"/>
      <c r="G1" s="124"/>
      <c r="H1" s="124"/>
      <c r="I1" s="124"/>
      <c r="J1" s="125"/>
    </row>
    <row r="2" spans="1:26" x14ac:dyDescent="0.25">
      <c r="A2" s="123" t="s">
        <v>1</v>
      </c>
      <c r="B2" s="124"/>
      <c r="C2" s="124"/>
      <c r="D2" s="124"/>
      <c r="E2" s="124"/>
      <c r="F2" s="124"/>
      <c r="G2" s="124"/>
      <c r="H2" s="124"/>
      <c r="I2" s="124"/>
      <c r="J2" s="125"/>
    </row>
    <row r="3" spans="1:26" x14ac:dyDescent="0.25">
      <c r="A3" s="126" t="s">
        <v>2</v>
      </c>
      <c r="B3" s="124"/>
      <c r="C3" s="125"/>
      <c r="D3" s="127">
        <f>FormSampel!F4</f>
        <v>2025020011</v>
      </c>
      <c r="E3" s="124"/>
      <c r="F3" s="124"/>
      <c r="G3" s="124"/>
      <c r="H3" s="124"/>
      <c r="I3" s="124"/>
      <c r="J3" s="125"/>
    </row>
    <row r="4" spans="1:26" x14ac:dyDescent="0.25">
      <c r="A4" s="126" t="s">
        <v>3</v>
      </c>
      <c r="B4" s="124"/>
      <c r="C4" s="125"/>
      <c r="D4" s="127" t="str">
        <f>FormSampel!B2</f>
        <v>120225(2)</v>
      </c>
      <c r="E4" s="124"/>
      <c r="F4" s="124"/>
      <c r="G4" s="124"/>
      <c r="H4" s="124"/>
      <c r="I4" s="124"/>
      <c r="J4" s="125"/>
    </row>
    <row r="5" spans="1:26" ht="15" customHeight="1" x14ac:dyDescent="0.25">
      <c r="A5" s="128" t="s">
        <v>87</v>
      </c>
      <c r="B5" s="124"/>
      <c r="C5" s="124"/>
      <c r="D5" s="124"/>
      <c r="E5" s="124"/>
      <c r="F5" s="124"/>
      <c r="G5" s="124"/>
      <c r="H5" s="124"/>
      <c r="I5" s="124"/>
      <c r="J5" s="125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28" t="s">
        <v>4</v>
      </c>
      <c r="B6" s="124"/>
      <c r="C6" s="124"/>
      <c r="D6" s="124"/>
      <c r="E6" s="124"/>
      <c r="F6" s="124"/>
      <c r="G6" s="124"/>
      <c r="H6" s="124"/>
      <c r="I6" s="124"/>
      <c r="J6" s="125"/>
    </row>
    <row r="7" spans="1:26" ht="30" customHeight="1" x14ac:dyDescent="0.25">
      <c r="A7" s="129" t="s">
        <v>5</v>
      </c>
      <c r="B7" s="119"/>
      <c r="C7" s="130" t="s">
        <v>6</v>
      </c>
      <c r="D7" s="119"/>
      <c r="E7" s="119"/>
      <c r="F7" s="2" t="s">
        <v>7</v>
      </c>
      <c r="G7" s="118" t="s">
        <v>8</v>
      </c>
      <c r="H7" s="119"/>
      <c r="I7" s="119"/>
      <c r="J7" s="120"/>
    </row>
    <row r="8" spans="1:26" ht="15" customHeight="1" x14ac:dyDescent="0.25">
      <c r="A8" s="131" t="s">
        <v>9</v>
      </c>
      <c r="B8" s="113"/>
      <c r="C8" s="132" t="s">
        <v>10</v>
      </c>
      <c r="D8" s="113"/>
      <c r="E8" s="4"/>
      <c r="F8" s="5" t="s">
        <v>11</v>
      </c>
      <c r="G8" s="6" t="s">
        <v>12</v>
      </c>
      <c r="H8" s="6" t="s">
        <v>13</v>
      </c>
      <c r="I8" s="121"/>
      <c r="J8" s="122"/>
    </row>
    <row r="9" spans="1:26" ht="30" customHeight="1" x14ac:dyDescent="0.25">
      <c r="A9" s="133" t="s">
        <v>14</v>
      </c>
      <c r="B9" s="113"/>
      <c r="C9" s="132" t="s">
        <v>15</v>
      </c>
      <c r="D9" s="113"/>
      <c r="E9" s="7"/>
      <c r="F9" s="2" t="s">
        <v>16</v>
      </c>
      <c r="G9" s="8" t="s">
        <v>17</v>
      </c>
      <c r="H9" s="8" t="s">
        <v>18</v>
      </c>
      <c r="I9" s="9"/>
      <c r="J9" s="10"/>
    </row>
    <row r="10" spans="1:26" ht="15" customHeight="1" x14ac:dyDescent="0.25">
      <c r="A10" s="131" t="s">
        <v>19</v>
      </c>
      <c r="B10" s="113"/>
      <c r="C10" s="132" t="s">
        <v>20</v>
      </c>
      <c r="D10" s="113"/>
      <c r="E10" s="7"/>
      <c r="F10" s="2" t="s">
        <v>21</v>
      </c>
      <c r="G10" s="8" t="s">
        <v>22</v>
      </c>
      <c r="H10" s="8" t="s">
        <v>23</v>
      </c>
      <c r="I10" s="11"/>
      <c r="J10" s="10"/>
    </row>
    <row r="11" spans="1:26" ht="30" customHeight="1" x14ac:dyDescent="0.25">
      <c r="A11" s="133" t="s">
        <v>24</v>
      </c>
      <c r="B11" s="113"/>
      <c r="C11" s="136" t="s">
        <v>25</v>
      </c>
      <c r="D11" s="113"/>
      <c r="E11" s="7"/>
      <c r="F11" s="2" t="s">
        <v>26</v>
      </c>
      <c r="G11" s="8" t="s">
        <v>27</v>
      </c>
      <c r="H11" s="8" t="s">
        <v>28</v>
      </c>
      <c r="I11" s="11"/>
      <c r="J11" s="10"/>
    </row>
    <row r="12" spans="1:26" ht="15" customHeight="1" x14ac:dyDescent="0.25">
      <c r="A12" s="131" t="s">
        <v>29</v>
      </c>
      <c r="B12" s="113"/>
      <c r="C12" s="132" t="s">
        <v>30</v>
      </c>
      <c r="D12" s="113"/>
      <c r="E12" s="7"/>
      <c r="F12" s="2" t="s">
        <v>31</v>
      </c>
      <c r="G12" s="8" t="s">
        <v>32</v>
      </c>
      <c r="H12" s="8" t="s">
        <v>33</v>
      </c>
      <c r="I12" s="9"/>
      <c r="J12" s="10"/>
    </row>
    <row r="13" spans="1:26" ht="30" x14ac:dyDescent="0.25">
      <c r="A13" s="131" t="s">
        <v>34</v>
      </c>
      <c r="B13" s="113"/>
      <c r="C13" s="132" t="s">
        <v>35</v>
      </c>
      <c r="D13" s="113"/>
      <c r="E13" s="7"/>
      <c r="F13" s="2" t="s">
        <v>36</v>
      </c>
      <c r="G13" s="8" t="s">
        <v>37</v>
      </c>
      <c r="H13" s="8" t="s">
        <v>38</v>
      </c>
      <c r="I13" s="11"/>
      <c r="J13" s="12"/>
    </row>
    <row r="14" spans="1:26" ht="15" customHeight="1" x14ac:dyDescent="0.25">
      <c r="A14" s="131" t="s">
        <v>39</v>
      </c>
      <c r="B14" s="113"/>
      <c r="C14" s="132" t="s">
        <v>40</v>
      </c>
      <c r="D14" s="113"/>
      <c r="E14" s="7"/>
      <c r="F14" s="134" t="s">
        <v>41</v>
      </c>
      <c r="G14" s="113"/>
      <c r="H14" s="113"/>
      <c r="I14" s="135" t="s">
        <v>42</v>
      </c>
      <c r="J14" s="122"/>
    </row>
    <row r="15" spans="1:26" ht="15" customHeight="1" x14ac:dyDescent="0.25">
      <c r="A15" s="131" t="s">
        <v>43</v>
      </c>
      <c r="B15" s="113"/>
      <c r="C15" s="132" t="s">
        <v>44</v>
      </c>
      <c r="D15" s="113"/>
      <c r="E15" s="7"/>
      <c r="F15" s="43" t="s">
        <v>72</v>
      </c>
      <c r="G15" s="138" t="str">
        <f>FormSampel!B14</f>
        <v>HC 20925173 - 1</v>
      </c>
      <c r="H15" s="138"/>
      <c r="I15" s="93">
        <f>FormSampel!C14</f>
        <v>46356</v>
      </c>
      <c r="J15" s="94"/>
    </row>
    <row r="16" spans="1:26" ht="15" customHeight="1" x14ac:dyDescent="0.25">
      <c r="A16" s="131" t="s">
        <v>45</v>
      </c>
      <c r="B16" s="113"/>
      <c r="C16" s="137" t="s">
        <v>46</v>
      </c>
      <c r="D16" s="113"/>
      <c r="E16" s="113"/>
      <c r="F16" s="44" t="s">
        <v>73</v>
      </c>
      <c r="G16" s="101" t="str">
        <f>FormSampel!B15</f>
        <v>HC 28845526 - 1</v>
      </c>
      <c r="H16" s="101"/>
      <c r="I16" s="93">
        <f>FormSampel!C15</f>
        <v>46173</v>
      </c>
      <c r="J16" s="94"/>
    </row>
    <row r="17" spans="1:26" ht="15" customHeight="1" x14ac:dyDescent="0.25">
      <c r="A17" s="3"/>
      <c r="B17" s="2"/>
      <c r="C17" s="13"/>
      <c r="D17" s="13"/>
      <c r="E17" s="13"/>
      <c r="F17" s="44" t="s">
        <v>74</v>
      </c>
      <c r="G17" s="101" t="str">
        <f>FormSampel!B16</f>
        <v>HC 28959376 - 1</v>
      </c>
      <c r="H17" s="101"/>
      <c r="I17" s="93">
        <f>FormSampel!C16</f>
        <v>46203</v>
      </c>
      <c r="J17" s="94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5" t="s">
        <v>75</v>
      </c>
      <c r="G18" s="100" t="str">
        <f>FormSampel!B17</f>
        <v>HC 33253877 - 1</v>
      </c>
      <c r="H18" s="100"/>
      <c r="I18" s="95">
        <f>FormSampel!C17</f>
        <v>46691</v>
      </c>
      <c r="J18" s="96"/>
    </row>
    <row r="19" spans="1:26" x14ac:dyDescent="0.25">
      <c r="A19" s="97" t="s">
        <v>47</v>
      </c>
      <c r="B19" s="98"/>
      <c r="C19" s="98"/>
      <c r="D19" s="98"/>
      <c r="E19" s="98"/>
      <c r="F19" s="98"/>
      <c r="G19" s="98"/>
      <c r="H19" s="98"/>
      <c r="I19" s="98"/>
      <c r="J19" s="99"/>
    </row>
    <row r="20" spans="1:26" ht="26.25" customHeight="1" x14ac:dyDescent="0.25">
      <c r="A20" s="102" t="s">
        <v>48</v>
      </c>
      <c r="B20" s="103"/>
      <c r="C20" s="29">
        <f>FormSampel!G4</f>
        <v>6.8579999999999997</v>
      </c>
      <c r="D20" s="30" t="s">
        <v>49</v>
      </c>
      <c r="E20" s="31">
        <v>1000</v>
      </c>
      <c r="F20" s="104" t="s">
        <v>50</v>
      </c>
      <c r="G20" s="103"/>
      <c r="H20" s="105" t="str">
        <f>IF(AND(C21&lt;0.15),"&lt;0.15",C21)</f>
        <v>&lt;0.15</v>
      </c>
      <c r="I20" s="106"/>
      <c r="J20" s="32" t="s">
        <v>51</v>
      </c>
    </row>
    <row r="21" spans="1:26" ht="15.75" customHeight="1" x14ac:dyDescent="0.25">
      <c r="A21" s="33" t="s">
        <v>52</v>
      </c>
      <c r="B21" s="34"/>
      <c r="C21" s="107">
        <f>C20/1000</f>
        <v>6.8579999999999995E-3</v>
      </c>
      <c r="D21" s="108"/>
      <c r="E21" s="35"/>
      <c r="F21" s="34"/>
      <c r="G21" s="34"/>
      <c r="H21" s="34"/>
      <c r="I21" s="34"/>
      <c r="J21" s="32"/>
    </row>
    <row r="22" spans="1:26" ht="15.75" customHeight="1" x14ac:dyDescent="0.25">
      <c r="A22" s="109" t="s">
        <v>55</v>
      </c>
      <c r="B22" s="110"/>
      <c r="C22" s="110"/>
      <c r="D22" s="110"/>
      <c r="E22" s="110"/>
      <c r="F22" s="110"/>
      <c r="G22" s="110"/>
      <c r="H22" s="110"/>
      <c r="I22" s="110"/>
      <c r="J22" s="11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02" t="s">
        <v>48</v>
      </c>
      <c r="B23" s="103"/>
      <c r="C23" s="29">
        <f>FormSampel!H4</f>
        <v>2.5870000000000002</v>
      </c>
      <c r="D23" s="30" t="s">
        <v>49</v>
      </c>
      <c r="E23" s="36">
        <v>1000</v>
      </c>
      <c r="F23" s="104" t="s">
        <v>50</v>
      </c>
      <c r="G23" s="103"/>
      <c r="H23" s="105" t="str">
        <f>IF(C24&lt;0.15,"&lt;0.15",C24)</f>
        <v>&lt;0.15</v>
      </c>
      <c r="I23" s="106"/>
      <c r="J23" s="32" t="s">
        <v>51</v>
      </c>
    </row>
    <row r="24" spans="1:26" ht="15.75" customHeight="1" x14ac:dyDescent="0.25">
      <c r="A24" s="33" t="s">
        <v>52</v>
      </c>
      <c r="B24" s="34"/>
      <c r="C24" s="107">
        <f>C23/1000</f>
        <v>2.5870000000000003E-3</v>
      </c>
      <c r="D24" s="108"/>
      <c r="E24" s="35"/>
      <c r="F24" s="34"/>
      <c r="G24" s="34"/>
      <c r="H24" s="34"/>
      <c r="I24" s="34"/>
      <c r="J24" s="32"/>
    </row>
    <row r="25" spans="1:26" ht="15.75" customHeight="1" x14ac:dyDescent="0.25">
      <c r="A25" s="109" t="s">
        <v>53</v>
      </c>
      <c r="B25" s="110"/>
      <c r="C25" s="110"/>
      <c r="D25" s="110"/>
      <c r="E25" s="110"/>
      <c r="F25" s="110"/>
      <c r="G25" s="110"/>
      <c r="H25" s="110"/>
      <c r="I25" s="110"/>
      <c r="J25" s="11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12" t="s">
        <v>48</v>
      </c>
      <c r="B26" s="113"/>
      <c r="C26" s="29">
        <f>FormSampel!I4</f>
        <v>9.5060000000000002</v>
      </c>
      <c r="D26" s="30" t="s">
        <v>49</v>
      </c>
      <c r="E26" s="36">
        <v>1000</v>
      </c>
      <c r="F26" s="114" t="s">
        <v>50</v>
      </c>
      <c r="G26" s="103"/>
      <c r="H26" s="105" t="str">
        <f>IF(AND(C27&lt;0.15),"&lt;0.15",C27)</f>
        <v>&lt;0.15</v>
      </c>
      <c r="I26" s="106"/>
      <c r="J26" s="37" t="s">
        <v>51</v>
      </c>
    </row>
    <row r="27" spans="1:26" ht="15.75" customHeight="1" x14ac:dyDescent="0.25">
      <c r="A27" s="33" t="s">
        <v>52</v>
      </c>
      <c r="B27" s="34"/>
      <c r="C27" s="115">
        <f>C26/1000</f>
        <v>9.5060000000000006E-3</v>
      </c>
      <c r="D27" s="116"/>
      <c r="E27" s="35"/>
      <c r="F27" s="34"/>
      <c r="G27" s="34"/>
      <c r="H27" s="34"/>
      <c r="I27" s="34"/>
      <c r="J27" s="32"/>
    </row>
    <row r="28" spans="1:26" ht="15.75" customHeight="1" x14ac:dyDescent="0.25">
      <c r="A28" s="109" t="s">
        <v>54</v>
      </c>
      <c r="B28" s="110"/>
      <c r="C28" s="110"/>
      <c r="D28" s="110"/>
      <c r="E28" s="110"/>
      <c r="F28" s="110"/>
      <c r="G28" s="110"/>
      <c r="H28" s="110"/>
      <c r="I28" s="110"/>
      <c r="J28" s="11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12" t="s">
        <v>48</v>
      </c>
      <c r="B29" s="113"/>
      <c r="C29" s="29">
        <f>FormSampel!J4</f>
        <v>128.02099999999999</v>
      </c>
      <c r="D29" s="30" t="s">
        <v>49</v>
      </c>
      <c r="E29" s="36">
        <v>1000</v>
      </c>
      <c r="F29" s="117" t="s">
        <v>50</v>
      </c>
      <c r="G29" s="113"/>
      <c r="H29" s="105" t="str">
        <f>IF(AND(C30&lt;0.15),"&lt;0.15",C30)</f>
        <v>&lt;0.15</v>
      </c>
      <c r="I29" s="106"/>
      <c r="J29" s="32" t="s">
        <v>51</v>
      </c>
    </row>
    <row r="30" spans="1:26" ht="15.75" customHeight="1" x14ac:dyDescent="0.25">
      <c r="A30" s="33" t="s">
        <v>52</v>
      </c>
      <c r="B30" s="34"/>
      <c r="C30" s="107">
        <f>C29/1000</f>
        <v>0.128021</v>
      </c>
      <c r="D30" s="108"/>
      <c r="E30" s="35"/>
      <c r="F30" s="34"/>
      <c r="G30" s="34"/>
      <c r="H30" s="34"/>
      <c r="I30" s="34"/>
      <c r="J30" s="32"/>
    </row>
    <row r="31" spans="1:26" ht="15.75" customHeight="1" x14ac:dyDescent="0.25">
      <c r="A31" s="150" t="s">
        <v>56</v>
      </c>
      <c r="B31" s="119"/>
      <c r="C31" s="17"/>
      <c r="D31" s="17"/>
      <c r="E31" s="17"/>
      <c r="F31" s="18" t="s">
        <v>57</v>
      </c>
      <c r="G31" s="17"/>
      <c r="H31" s="17"/>
      <c r="I31" s="17"/>
      <c r="J31" s="19"/>
    </row>
    <row r="32" spans="1:26" ht="15.75" customHeight="1" x14ac:dyDescent="0.25">
      <c r="A32" s="20"/>
      <c r="B32" s="151" t="s">
        <v>58</v>
      </c>
      <c r="C32" s="113"/>
      <c r="D32" s="113"/>
      <c r="E32" s="122"/>
      <c r="F32" s="1"/>
      <c r="G32" s="1"/>
      <c r="H32" s="1"/>
      <c r="I32" s="1"/>
      <c r="J32" s="16"/>
    </row>
    <row r="33" spans="1:26" ht="15.75" customHeight="1" x14ac:dyDescent="0.25">
      <c r="A33" s="20"/>
      <c r="B33" s="113"/>
      <c r="C33" s="113"/>
      <c r="D33" s="113"/>
      <c r="E33" s="122"/>
      <c r="F33" s="21"/>
      <c r="G33" s="1"/>
      <c r="H33" s="1"/>
      <c r="I33" s="1"/>
      <c r="J33" s="16"/>
    </row>
    <row r="34" spans="1:26" ht="15.75" customHeight="1" x14ac:dyDescent="0.25">
      <c r="A34" s="22"/>
      <c r="B34" s="151" t="s">
        <v>59</v>
      </c>
      <c r="C34" s="113"/>
      <c r="D34" s="113"/>
      <c r="E34" s="122"/>
      <c r="F34" s="1"/>
      <c r="G34" s="1"/>
      <c r="H34" s="1"/>
      <c r="I34" s="1"/>
      <c r="J34" s="16"/>
    </row>
    <row r="35" spans="1:26" ht="15.75" customHeight="1" x14ac:dyDescent="0.25">
      <c r="A35" s="22"/>
      <c r="B35" s="113"/>
      <c r="C35" s="113"/>
      <c r="D35" s="113"/>
      <c r="E35" s="122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52" t="s">
        <v>60</v>
      </c>
      <c r="B38" s="119"/>
      <c r="C38" s="119"/>
      <c r="D38" s="119"/>
      <c r="E38" s="120"/>
      <c r="F38" s="139" t="str">
        <f>FormSampel!B19</f>
        <v>AMIR / MAISARAH</v>
      </c>
      <c r="G38" s="140"/>
      <c r="H38" s="143">
        <f>FormSampel!B20</f>
        <v>45700</v>
      </c>
      <c r="I38" s="143"/>
      <c r="J38" s="144"/>
    </row>
    <row r="39" spans="1:26" ht="11.25" customHeight="1" x14ac:dyDescent="0.25">
      <c r="A39" s="148"/>
      <c r="B39" s="149"/>
      <c r="C39" s="149"/>
      <c r="D39" s="149"/>
      <c r="E39" s="153"/>
      <c r="F39" s="141"/>
      <c r="G39" s="142"/>
      <c r="H39" s="145"/>
      <c r="I39" s="145"/>
      <c r="J39" s="146"/>
    </row>
    <row r="40" spans="1:26" ht="15.75" customHeight="1" x14ac:dyDescent="0.25">
      <c r="A40" s="147" t="s">
        <v>61</v>
      </c>
      <c r="B40" s="119"/>
      <c r="C40" s="119"/>
      <c r="D40" s="119"/>
      <c r="E40" s="119"/>
      <c r="F40" s="27"/>
      <c r="G40" s="23"/>
      <c r="H40" s="23"/>
      <c r="I40" s="23"/>
      <c r="J40" s="16"/>
    </row>
    <row r="41" spans="1:26" ht="11.25" customHeight="1" x14ac:dyDescent="0.25">
      <c r="A41" s="148"/>
      <c r="B41" s="149"/>
      <c r="C41" s="149"/>
      <c r="D41" s="149"/>
      <c r="E41" s="149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F38:G39"/>
    <mergeCell ref="H38:J39"/>
    <mergeCell ref="A40:E41"/>
    <mergeCell ref="C30:D30"/>
    <mergeCell ref="A31:B31"/>
    <mergeCell ref="B32:E33"/>
    <mergeCell ref="B34:E35"/>
    <mergeCell ref="A38:E39"/>
    <mergeCell ref="A15:B15"/>
    <mergeCell ref="C15:D15"/>
    <mergeCell ref="I15:J15"/>
    <mergeCell ref="A16:B16"/>
    <mergeCell ref="C16:E16"/>
    <mergeCell ref="I16:J16"/>
    <mergeCell ref="G15:H15"/>
    <mergeCell ref="G16:H16"/>
    <mergeCell ref="I14:J14"/>
    <mergeCell ref="A10:B10"/>
    <mergeCell ref="C10:D10"/>
    <mergeCell ref="A11:B11"/>
    <mergeCell ref="C11:D11"/>
    <mergeCell ref="A12:B12"/>
    <mergeCell ref="C12:D12"/>
    <mergeCell ref="C13:D13"/>
    <mergeCell ref="C14:D14"/>
    <mergeCell ref="A9:B9"/>
    <mergeCell ref="C9:D9"/>
    <mergeCell ref="A13:B13"/>
    <mergeCell ref="A14:B14"/>
    <mergeCell ref="F14:H14"/>
    <mergeCell ref="G7:J7"/>
    <mergeCell ref="I8:J8"/>
    <mergeCell ref="A1:J1"/>
    <mergeCell ref="A2:J2"/>
    <mergeCell ref="A3:C3"/>
    <mergeCell ref="D3:J3"/>
    <mergeCell ref="D4:J4"/>
    <mergeCell ref="A5:J5"/>
    <mergeCell ref="A6:J6"/>
    <mergeCell ref="A4:C4"/>
    <mergeCell ref="A7:B7"/>
    <mergeCell ref="C7:E7"/>
    <mergeCell ref="A8:B8"/>
    <mergeCell ref="C8:D8"/>
    <mergeCell ref="F23:G23"/>
    <mergeCell ref="H23:I23"/>
    <mergeCell ref="A26:B26"/>
    <mergeCell ref="A29:B29"/>
    <mergeCell ref="A23:B23"/>
    <mergeCell ref="C24:D24"/>
    <mergeCell ref="A25:J25"/>
    <mergeCell ref="F26:G26"/>
    <mergeCell ref="H26:I26"/>
    <mergeCell ref="C27:D27"/>
    <mergeCell ref="A28:J28"/>
    <mergeCell ref="F29:G29"/>
    <mergeCell ref="H29:I29"/>
    <mergeCell ref="A20:B20"/>
    <mergeCell ref="F20:G20"/>
    <mergeCell ref="H20:I20"/>
    <mergeCell ref="C21:D21"/>
    <mergeCell ref="A22:J22"/>
    <mergeCell ref="I17:J17"/>
    <mergeCell ref="I18:J18"/>
    <mergeCell ref="A19:J19"/>
    <mergeCell ref="G18:H18"/>
    <mergeCell ref="G17:H17"/>
  </mergeCells>
  <pageMargins left="0.7" right="0.7" top="0.75" bottom="0.75" header="0" footer="0"/>
  <pageSetup paperSize="9" orientation="portrait" r:id="rId1"/>
  <headerFooter>
    <oddHeader>&amp;LPKKK/UAT/003B&amp;R16-Dis-2024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Check Box 4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Check Box 5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Check Box 6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Check Box 7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Check Box 8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Check Box 9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50A64A-B9AE-4B9B-A368-2E04AEC98E2E}">
  <sheetPr codeName="Sheet2"/>
  <dimension ref="A1:Z579"/>
  <sheetViews>
    <sheetView view="pageLayout" zoomScale="112" zoomScaleNormal="100" zoomScalePageLayoutView="112" workbookViewId="0">
      <selection activeCell="C20" sqref="C20"/>
    </sheetView>
  </sheetViews>
  <sheetFormatPr defaultColWidth="14.42578125" defaultRowHeight="15" customHeight="1" x14ac:dyDescent="0.25"/>
  <cols>
    <col min="1" max="1" width="12.85546875" style="39" customWidth="1"/>
    <col min="2" max="2" width="8" style="39" customWidth="1"/>
    <col min="3" max="3" width="11.28515625" style="39" customWidth="1"/>
    <col min="4" max="4" width="6" style="39" customWidth="1"/>
    <col min="5" max="5" width="6.85546875" style="39" customWidth="1"/>
    <col min="6" max="6" width="12.140625" style="39" customWidth="1"/>
    <col min="7" max="7" width="10" style="39" customWidth="1"/>
    <col min="8" max="8" width="8.5703125" style="39" customWidth="1"/>
    <col min="9" max="9" width="4.5703125" style="39" customWidth="1"/>
    <col min="10" max="10" width="6.7109375" style="39" customWidth="1"/>
    <col min="11" max="11" width="8" style="39" customWidth="1"/>
    <col min="12" max="16384" width="14.42578125" style="39"/>
  </cols>
  <sheetData>
    <row r="1" spans="1:26" x14ac:dyDescent="0.25">
      <c r="A1" s="123" t="s">
        <v>0</v>
      </c>
      <c r="B1" s="124"/>
      <c r="C1" s="124"/>
      <c r="D1" s="124"/>
      <c r="E1" s="124"/>
      <c r="F1" s="124"/>
      <c r="G1" s="124"/>
      <c r="H1" s="124"/>
      <c r="I1" s="124"/>
      <c r="J1" s="125"/>
    </row>
    <row r="2" spans="1:26" x14ac:dyDescent="0.25">
      <c r="A2" s="123" t="s">
        <v>1</v>
      </c>
      <c r="B2" s="124"/>
      <c r="C2" s="124"/>
      <c r="D2" s="124"/>
      <c r="E2" s="124"/>
      <c r="F2" s="124"/>
      <c r="G2" s="124"/>
      <c r="H2" s="124"/>
      <c r="I2" s="124"/>
      <c r="J2" s="125"/>
    </row>
    <row r="3" spans="1:26" x14ac:dyDescent="0.25">
      <c r="A3" s="126" t="s">
        <v>2</v>
      </c>
      <c r="B3" s="124"/>
      <c r="C3" s="125"/>
      <c r="D3" s="127">
        <f>FormSampel!F5</f>
        <v>0</v>
      </c>
      <c r="E3" s="124"/>
      <c r="F3" s="124"/>
      <c r="G3" s="124"/>
      <c r="H3" s="124"/>
      <c r="I3" s="124"/>
      <c r="J3" s="125"/>
    </row>
    <row r="4" spans="1:26" x14ac:dyDescent="0.25">
      <c r="A4" s="126" t="s">
        <v>3</v>
      </c>
      <c r="B4" s="124"/>
      <c r="C4" s="125"/>
      <c r="D4" s="127" t="str">
        <f>FormSampel!B2</f>
        <v>120225(2)</v>
      </c>
      <c r="E4" s="124"/>
      <c r="F4" s="124"/>
      <c r="G4" s="124"/>
      <c r="H4" s="124"/>
      <c r="I4" s="124"/>
      <c r="J4" s="125"/>
    </row>
    <row r="5" spans="1:26" ht="15" customHeight="1" x14ac:dyDescent="0.25">
      <c r="A5" s="128" t="s">
        <v>87</v>
      </c>
      <c r="B5" s="124"/>
      <c r="C5" s="124"/>
      <c r="D5" s="124"/>
      <c r="E5" s="124"/>
      <c r="F5" s="124"/>
      <c r="G5" s="124"/>
      <c r="H5" s="124"/>
      <c r="I5" s="124"/>
      <c r="J5" s="125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28" t="s">
        <v>4</v>
      </c>
      <c r="B6" s="124"/>
      <c r="C6" s="124"/>
      <c r="D6" s="124"/>
      <c r="E6" s="124"/>
      <c r="F6" s="124"/>
      <c r="G6" s="124"/>
      <c r="H6" s="124"/>
      <c r="I6" s="124"/>
      <c r="J6" s="125"/>
    </row>
    <row r="7" spans="1:26" ht="30" customHeight="1" x14ac:dyDescent="0.25">
      <c r="A7" s="129" t="s">
        <v>5</v>
      </c>
      <c r="B7" s="119"/>
      <c r="C7" s="130" t="s">
        <v>6</v>
      </c>
      <c r="D7" s="119"/>
      <c r="E7" s="119"/>
      <c r="F7" s="42" t="s">
        <v>7</v>
      </c>
      <c r="G7" s="118" t="s">
        <v>8</v>
      </c>
      <c r="H7" s="119"/>
      <c r="I7" s="119"/>
      <c r="J7" s="120"/>
    </row>
    <row r="8" spans="1:26" ht="15" customHeight="1" x14ac:dyDescent="0.25">
      <c r="A8" s="131" t="s">
        <v>9</v>
      </c>
      <c r="B8" s="113"/>
      <c r="C8" s="132" t="s">
        <v>10</v>
      </c>
      <c r="D8" s="113"/>
      <c r="E8" s="4"/>
      <c r="F8" s="38" t="s">
        <v>11</v>
      </c>
      <c r="G8" s="6" t="s">
        <v>12</v>
      </c>
      <c r="H8" s="6" t="s">
        <v>13</v>
      </c>
      <c r="I8" s="121"/>
      <c r="J8" s="122"/>
    </row>
    <row r="9" spans="1:26" ht="30" customHeight="1" x14ac:dyDescent="0.25">
      <c r="A9" s="133" t="s">
        <v>14</v>
      </c>
      <c r="B9" s="113"/>
      <c r="C9" s="132" t="s">
        <v>15</v>
      </c>
      <c r="D9" s="113"/>
      <c r="E9" s="7"/>
      <c r="F9" s="42" t="s">
        <v>16</v>
      </c>
      <c r="G9" s="8" t="s">
        <v>17</v>
      </c>
      <c r="H9" s="8" t="s">
        <v>18</v>
      </c>
      <c r="I9" s="9"/>
      <c r="J9" s="10"/>
    </row>
    <row r="10" spans="1:26" ht="15" customHeight="1" x14ac:dyDescent="0.25">
      <c r="A10" s="131" t="s">
        <v>19</v>
      </c>
      <c r="B10" s="113"/>
      <c r="C10" s="132" t="s">
        <v>20</v>
      </c>
      <c r="D10" s="113"/>
      <c r="E10" s="7"/>
      <c r="F10" s="42" t="s">
        <v>21</v>
      </c>
      <c r="G10" s="8" t="s">
        <v>22</v>
      </c>
      <c r="H10" s="8" t="s">
        <v>23</v>
      </c>
      <c r="I10" s="11"/>
      <c r="J10" s="10"/>
    </row>
    <row r="11" spans="1:26" ht="30" customHeight="1" x14ac:dyDescent="0.25">
      <c r="A11" s="133" t="s">
        <v>24</v>
      </c>
      <c r="B11" s="113"/>
      <c r="C11" s="136" t="s">
        <v>25</v>
      </c>
      <c r="D11" s="113"/>
      <c r="E11" s="7"/>
      <c r="F11" s="42" t="s">
        <v>26</v>
      </c>
      <c r="G11" s="8" t="s">
        <v>27</v>
      </c>
      <c r="H11" s="8" t="s">
        <v>28</v>
      </c>
      <c r="I11" s="11"/>
      <c r="J11" s="10"/>
    </row>
    <row r="12" spans="1:26" ht="15" customHeight="1" x14ac:dyDescent="0.25">
      <c r="A12" s="131" t="s">
        <v>29</v>
      </c>
      <c r="B12" s="113"/>
      <c r="C12" s="132" t="s">
        <v>30</v>
      </c>
      <c r="D12" s="113"/>
      <c r="E12" s="7"/>
      <c r="F12" s="42" t="s">
        <v>31</v>
      </c>
      <c r="G12" s="8" t="s">
        <v>32</v>
      </c>
      <c r="H12" s="8" t="s">
        <v>33</v>
      </c>
      <c r="I12" s="9"/>
      <c r="J12" s="10"/>
    </row>
    <row r="13" spans="1:26" ht="30" x14ac:dyDescent="0.25">
      <c r="A13" s="131" t="s">
        <v>34</v>
      </c>
      <c r="B13" s="113"/>
      <c r="C13" s="132" t="s">
        <v>35</v>
      </c>
      <c r="D13" s="113"/>
      <c r="E13" s="7"/>
      <c r="F13" s="42" t="s">
        <v>36</v>
      </c>
      <c r="G13" s="8" t="s">
        <v>37</v>
      </c>
      <c r="H13" s="8" t="s">
        <v>38</v>
      </c>
      <c r="I13" s="11"/>
      <c r="J13" s="12"/>
    </row>
    <row r="14" spans="1:26" ht="15" customHeight="1" x14ac:dyDescent="0.25">
      <c r="A14" s="131" t="s">
        <v>39</v>
      </c>
      <c r="B14" s="113"/>
      <c r="C14" s="132" t="s">
        <v>40</v>
      </c>
      <c r="D14" s="113"/>
      <c r="E14" s="7"/>
      <c r="F14" s="134" t="s">
        <v>41</v>
      </c>
      <c r="G14" s="113"/>
      <c r="H14" s="113"/>
      <c r="I14" s="135" t="s">
        <v>42</v>
      </c>
      <c r="J14" s="122"/>
    </row>
    <row r="15" spans="1:26" ht="15" customHeight="1" x14ac:dyDescent="0.25">
      <c r="A15" s="131" t="s">
        <v>43</v>
      </c>
      <c r="B15" s="113"/>
      <c r="C15" s="132" t="s">
        <v>44</v>
      </c>
      <c r="D15" s="113"/>
      <c r="E15" s="7"/>
      <c r="F15" s="43" t="s">
        <v>72</v>
      </c>
      <c r="G15" s="138" t="str">
        <f>FormSampel!B14</f>
        <v>HC 20925173 - 1</v>
      </c>
      <c r="H15" s="138"/>
      <c r="I15" s="93">
        <f>FormSampel!C14</f>
        <v>46356</v>
      </c>
      <c r="J15" s="94"/>
    </row>
    <row r="16" spans="1:26" ht="15" customHeight="1" x14ac:dyDescent="0.25">
      <c r="A16" s="131" t="s">
        <v>45</v>
      </c>
      <c r="B16" s="113"/>
      <c r="C16" s="137" t="s">
        <v>46</v>
      </c>
      <c r="D16" s="113"/>
      <c r="E16" s="113"/>
      <c r="F16" s="44" t="s">
        <v>73</v>
      </c>
      <c r="G16" s="101" t="str">
        <f>FormSampel!B15</f>
        <v>HC 28845526 - 1</v>
      </c>
      <c r="H16" s="101"/>
      <c r="I16" s="93">
        <f>FormSampel!C15</f>
        <v>46173</v>
      </c>
      <c r="J16" s="94"/>
    </row>
    <row r="17" spans="1:26" ht="15" customHeight="1" x14ac:dyDescent="0.25">
      <c r="A17" s="40"/>
      <c r="B17" s="42"/>
      <c r="C17" s="41"/>
      <c r="D17" s="41"/>
      <c r="E17" s="41"/>
      <c r="F17" s="44" t="s">
        <v>74</v>
      </c>
      <c r="G17" s="101" t="str">
        <f>FormSampel!B16</f>
        <v>HC 28959376 - 1</v>
      </c>
      <c r="H17" s="101"/>
      <c r="I17" s="93">
        <f>FormSampel!C16</f>
        <v>46203</v>
      </c>
      <c r="J17" s="94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5" t="s">
        <v>75</v>
      </c>
      <c r="G18" s="100" t="str">
        <f>FormSampel!B17</f>
        <v>HC 33253877 - 1</v>
      </c>
      <c r="H18" s="100"/>
      <c r="I18" s="95">
        <f>FormSampel!C17</f>
        <v>46691</v>
      </c>
      <c r="J18" s="96"/>
    </row>
    <row r="19" spans="1:26" x14ac:dyDescent="0.25">
      <c r="A19" s="97" t="s">
        <v>47</v>
      </c>
      <c r="B19" s="98"/>
      <c r="C19" s="98"/>
      <c r="D19" s="98"/>
      <c r="E19" s="98"/>
      <c r="F19" s="98"/>
      <c r="G19" s="98"/>
      <c r="H19" s="98"/>
      <c r="I19" s="98"/>
      <c r="J19" s="99"/>
    </row>
    <row r="20" spans="1:26" ht="26.25" customHeight="1" x14ac:dyDescent="0.25">
      <c r="A20" s="102" t="s">
        <v>48</v>
      </c>
      <c r="B20" s="103"/>
      <c r="C20" s="29">
        <f>FormSampel!G5</f>
        <v>0</v>
      </c>
      <c r="D20" s="30" t="s">
        <v>49</v>
      </c>
      <c r="E20" s="31">
        <v>1000</v>
      </c>
      <c r="F20" s="104" t="s">
        <v>50</v>
      </c>
      <c r="G20" s="103"/>
      <c r="H20" s="105" t="str">
        <f>IF(AND(C21&lt;0.15),"&lt;0.15",C21)</f>
        <v>&lt;0.15</v>
      </c>
      <c r="I20" s="106"/>
      <c r="J20" s="32" t="s">
        <v>51</v>
      </c>
    </row>
    <row r="21" spans="1:26" ht="15.75" customHeight="1" x14ac:dyDescent="0.25">
      <c r="A21" s="33" t="s">
        <v>52</v>
      </c>
      <c r="B21" s="34"/>
      <c r="C21" s="107">
        <f>C20/1000</f>
        <v>0</v>
      </c>
      <c r="D21" s="108"/>
      <c r="E21" s="35"/>
      <c r="F21" s="34"/>
      <c r="G21" s="34"/>
      <c r="H21" s="34"/>
      <c r="I21" s="34"/>
      <c r="J21" s="32"/>
    </row>
    <row r="22" spans="1:26" ht="15.75" customHeight="1" x14ac:dyDescent="0.25">
      <c r="A22" s="109" t="s">
        <v>55</v>
      </c>
      <c r="B22" s="110"/>
      <c r="C22" s="110"/>
      <c r="D22" s="110"/>
      <c r="E22" s="110"/>
      <c r="F22" s="110"/>
      <c r="G22" s="110"/>
      <c r="H22" s="110"/>
      <c r="I22" s="110"/>
      <c r="J22" s="11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02" t="s">
        <v>48</v>
      </c>
      <c r="B23" s="103"/>
      <c r="C23" s="29">
        <f>FormSampel!H5</f>
        <v>0</v>
      </c>
      <c r="D23" s="30" t="s">
        <v>49</v>
      </c>
      <c r="E23" s="36">
        <v>1000</v>
      </c>
      <c r="F23" s="104" t="s">
        <v>50</v>
      </c>
      <c r="G23" s="103"/>
      <c r="H23" s="105" t="str">
        <f>IF(C24&lt;0.15,"&lt;0.15",C24)</f>
        <v>&lt;0.15</v>
      </c>
      <c r="I23" s="106"/>
      <c r="J23" s="32" t="s">
        <v>51</v>
      </c>
    </row>
    <row r="24" spans="1:26" ht="15.75" customHeight="1" x14ac:dyDescent="0.25">
      <c r="A24" s="33" t="s">
        <v>52</v>
      </c>
      <c r="B24" s="34"/>
      <c r="C24" s="107">
        <f>C23/1000</f>
        <v>0</v>
      </c>
      <c r="D24" s="108"/>
      <c r="E24" s="35"/>
      <c r="F24" s="34"/>
      <c r="G24" s="34"/>
      <c r="H24" s="34"/>
      <c r="I24" s="34"/>
      <c r="J24" s="32"/>
    </row>
    <row r="25" spans="1:26" ht="15.75" customHeight="1" x14ac:dyDescent="0.25">
      <c r="A25" s="109" t="s">
        <v>53</v>
      </c>
      <c r="B25" s="110"/>
      <c r="C25" s="110"/>
      <c r="D25" s="110"/>
      <c r="E25" s="110"/>
      <c r="F25" s="110"/>
      <c r="G25" s="110"/>
      <c r="H25" s="110"/>
      <c r="I25" s="110"/>
      <c r="J25" s="11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12" t="s">
        <v>48</v>
      </c>
      <c r="B26" s="113"/>
      <c r="C26" s="29">
        <f>FormSampel!I5</f>
        <v>0</v>
      </c>
      <c r="D26" s="30" t="s">
        <v>49</v>
      </c>
      <c r="E26" s="36">
        <v>1000</v>
      </c>
      <c r="F26" s="114" t="s">
        <v>50</v>
      </c>
      <c r="G26" s="103"/>
      <c r="H26" s="105" t="str">
        <f>IF(AND(C27&lt;0.15),"&lt;0.15",C27)</f>
        <v>&lt;0.15</v>
      </c>
      <c r="I26" s="106"/>
      <c r="J26" s="37" t="s">
        <v>51</v>
      </c>
    </row>
    <row r="27" spans="1:26" ht="15.75" customHeight="1" x14ac:dyDescent="0.25">
      <c r="A27" s="33" t="s">
        <v>52</v>
      </c>
      <c r="B27" s="34"/>
      <c r="C27" s="115">
        <f>C26/1000</f>
        <v>0</v>
      </c>
      <c r="D27" s="116"/>
      <c r="E27" s="35"/>
      <c r="F27" s="34"/>
      <c r="G27" s="34"/>
      <c r="H27" s="34"/>
      <c r="I27" s="34"/>
      <c r="J27" s="32"/>
    </row>
    <row r="28" spans="1:26" ht="15.75" customHeight="1" x14ac:dyDescent="0.25">
      <c r="A28" s="109" t="s">
        <v>54</v>
      </c>
      <c r="B28" s="110"/>
      <c r="C28" s="110"/>
      <c r="D28" s="110"/>
      <c r="E28" s="110"/>
      <c r="F28" s="110"/>
      <c r="G28" s="110"/>
      <c r="H28" s="110"/>
      <c r="I28" s="110"/>
      <c r="J28" s="11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12" t="s">
        <v>48</v>
      </c>
      <c r="B29" s="113"/>
      <c r="C29" s="29">
        <f>FormSampel!J5</f>
        <v>0</v>
      </c>
      <c r="D29" s="30" t="s">
        <v>49</v>
      </c>
      <c r="E29" s="36">
        <v>1000</v>
      </c>
      <c r="F29" s="117" t="s">
        <v>50</v>
      </c>
      <c r="G29" s="113"/>
      <c r="H29" s="105" t="str">
        <f>IF(AND(C30&lt;0.15),"&lt;0.15",C30)</f>
        <v>&lt;0.15</v>
      </c>
      <c r="I29" s="106"/>
      <c r="J29" s="32" t="s">
        <v>51</v>
      </c>
    </row>
    <row r="30" spans="1:26" ht="15.75" customHeight="1" x14ac:dyDescent="0.25">
      <c r="A30" s="33" t="s">
        <v>52</v>
      </c>
      <c r="B30" s="34"/>
      <c r="C30" s="107">
        <f>C29/1000</f>
        <v>0</v>
      </c>
      <c r="D30" s="108"/>
      <c r="E30" s="35"/>
      <c r="F30" s="34"/>
      <c r="G30" s="34"/>
      <c r="H30" s="34"/>
      <c r="I30" s="34"/>
      <c r="J30" s="32"/>
    </row>
    <row r="31" spans="1:26" ht="15.75" customHeight="1" x14ac:dyDescent="0.25">
      <c r="A31" s="150" t="s">
        <v>56</v>
      </c>
      <c r="B31" s="119"/>
      <c r="C31" s="17"/>
      <c r="D31" s="17"/>
      <c r="E31" s="17"/>
      <c r="F31" s="18" t="s">
        <v>57</v>
      </c>
      <c r="G31" s="17"/>
      <c r="H31" s="17"/>
      <c r="I31" s="17"/>
      <c r="J31" s="19"/>
    </row>
    <row r="32" spans="1:26" ht="15.75" customHeight="1" x14ac:dyDescent="0.25">
      <c r="A32" s="20"/>
      <c r="B32" s="151" t="s">
        <v>58</v>
      </c>
      <c r="C32" s="113"/>
      <c r="D32" s="113"/>
      <c r="E32" s="122"/>
      <c r="F32" s="1"/>
      <c r="G32" s="1"/>
      <c r="H32" s="1"/>
      <c r="I32" s="1"/>
      <c r="J32" s="16"/>
    </row>
    <row r="33" spans="1:26" ht="15.75" customHeight="1" x14ac:dyDescent="0.25">
      <c r="A33" s="20"/>
      <c r="B33" s="113"/>
      <c r="C33" s="113"/>
      <c r="D33" s="113"/>
      <c r="E33" s="122"/>
      <c r="F33" s="21"/>
      <c r="G33" s="1"/>
      <c r="H33" s="1"/>
      <c r="I33" s="1"/>
      <c r="J33" s="16"/>
    </row>
    <row r="34" spans="1:26" ht="15.75" customHeight="1" x14ac:dyDescent="0.25">
      <c r="A34" s="22"/>
      <c r="B34" s="151" t="s">
        <v>59</v>
      </c>
      <c r="C34" s="113"/>
      <c r="D34" s="113"/>
      <c r="E34" s="122"/>
      <c r="F34" s="1"/>
      <c r="G34" s="1"/>
      <c r="H34" s="1"/>
      <c r="I34" s="1"/>
      <c r="J34" s="16"/>
    </row>
    <row r="35" spans="1:26" ht="15.75" customHeight="1" x14ac:dyDescent="0.25">
      <c r="A35" s="22"/>
      <c r="B35" s="113"/>
      <c r="C35" s="113"/>
      <c r="D35" s="113"/>
      <c r="E35" s="122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52" t="s">
        <v>60</v>
      </c>
      <c r="B38" s="119"/>
      <c r="C38" s="119"/>
      <c r="D38" s="119"/>
      <c r="E38" s="120"/>
      <c r="F38" s="139" t="str">
        <f>FormSampel!B19</f>
        <v>AMIR / MAISARAH</v>
      </c>
      <c r="G38" s="140"/>
      <c r="H38" s="143">
        <f>FormSampel!B20</f>
        <v>45700</v>
      </c>
      <c r="I38" s="143"/>
      <c r="J38" s="144"/>
    </row>
    <row r="39" spans="1:26" ht="11.25" customHeight="1" x14ac:dyDescent="0.25">
      <c r="A39" s="148"/>
      <c r="B39" s="149"/>
      <c r="C39" s="149"/>
      <c r="D39" s="149"/>
      <c r="E39" s="153"/>
      <c r="F39" s="141"/>
      <c r="G39" s="142"/>
      <c r="H39" s="145"/>
      <c r="I39" s="145"/>
      <c r="J39" s="146"/>
    </row>
    <row r="40" spans="1:26" ht="15.75" customHeight="1" x14ac:dyDescent="0.25">
      <c r="A40" s="147" t="s">
        <v>61</v>
      </c>
      <c r="B40" s="119"/>
      <c r="C40" s="119"/>
      <c r="D40" s="119"/>
      <c r="E40" s="119"/>
      <c r="F40" s="27"/>
      <c r="G40" s="23"/>
      <c r="H40" s="23"/>
      <c r="I40" s="23"/>
      <c r="J40" s="16"/>
    </row>
    <row r="41" spans="1:26" ht="11.25" customHeight="1" x14ac:dyDescent="0.25">
      <c r="A41" s="148"/>
      <c r="B41" s="149"/>
      <c r="C41" s="149"/>
      <c r="D41" s="149"/>
      <c r="E41" s="149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B34:E35"/>
    <mergeCell ref="A38:E39"/>
    <mergeCell ref="F38:G39"/>
    <mergeCell ref="H38:J39"/>
    <mergeCell ref="A40:E41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A16:B16"/>
    <mergeCell ref="C16:E16"/>
    <mergeCell ref="G16:H16"/>
    <mergeCell ref="I16:J16"/>
    <mergeCell ref="G17:H17"/>
    <mergeCell ref="I17:J17"/>
    <mergeCell ref="F14:H14"/>
    <mergeCell ref="I14:J14"/>
    <mergeCell ref="A15:B15"/>
    <mergeCell ref="C15:D15"/>
    <mergeCell ref="G15:H15"/>
    <mergeCell ref="I15:J15"/>
    <mergeCell ref="A12:B12"/>
    <mergeCell ref="C12:D12"/>
    <mergeCell ref="A13:B13"/>
    <mergeCell ref="C13:D13"/>
    <mergeCell ref="A14:B14"/>
    <mergeCell ref="C14:D14"/>
    <mergeCell ref="A9:B9"/>
    <mergeCell ref="C9:D9"/>
    <mergeCell ref="A10:B10"/>
    <mergeCell ref="C10:D10"/>
    <mergeCell ref="A11:B11"/>
    <mergeCell ref="C11:D11"/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</mergeCells>
  <pageMargins left="0.7" right="0.7" top="0.75" bottom="0.75" header="0" footer="0"/>
  <pageSetup paperSize="9" orientation="portrait" r:id="rId1"/>
  <headerFooter>
    <oddHeader>&amp;LPKKK/UAT/003B&amp;R16-Dis-2024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4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5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6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7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8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911BE1-83FF-4C7D-A0B6-93773B52196B}">
  <sheetPr codeName="Sheet3"/>
  <dimension ref="A1:Z579"/>
  <sheetViews>
    <sheetView view="pageLayout" zoomScale="112" zoomScaleNormal="100" zoomScalePageLayoutView="112" workbookViewId="0">
      <selection activeCell="C29" sqref="C29"/>
    </sheetView>
  </sheetViews>
  <sheetFormatPr defaultColWidth="14.42578125" defaultRowHeight="15" customHeight="1" x14ac:dyDescent="0.25"/>
  <cols>
    <col min="1" max="1" width="12.85546875" style="39" customWidth="1"/>
    <col min="2" max="2" width="8" style="39" customWidth="1"/>
    <col min="3" max="3" width="11.28515625" style="39" customWidth="1"/>
    <col min="4" max="4" width="6" style="39" customWidth="1"/>
    <col min="5" max="5" width="6.85546875" style="39" customWidth="1"/>
    <col min="6" max="6" width="12.140625" style="39" customWidth="1"/>
    <col min="7" max="7" width="10" style="39" customWidth="1"/>
    <col min="8" max="8" width="8.5703125" style="39" customWidth="1"/>
    <col min="9" max="9" width="4.5703125" style="39" customWidth="1"/>
    <col min="10" max="10" width="6.7109375" style="39" customWidth="1"/>
    <col min="11" max="11" width="8" style="39" customWidth="1"/>
    <col min="12" max="16384" width="14.42578125" style="39"/>
  </cols>
  <sheetData>
    <row r="1" spans="1:26" x14ac:dyDescent="0.25">
      <c r="A1" s="123" t="s">
        <v>0</v>
      </c>
      <c r="B1" s="124"/>
      <c r="C1" s="124"/>
      <c r="D1" s="124"/>
      <c r="E1" s="124"/>
      <c r="F1" s="124"/>
      <c r="G1" s="124"/>
      <c r="H1" s="124"/>
      <c r="I1" s="124"/>
      <c r="J1" s="125"/>
    </row>
    <row r="2" spans="1:26" x14ac:dyDescent="0.25">
      <c r="A2" s="123" t="s">
        <v>1</v>
      </c>
      <c r="B2" s="124"/>
      <c r="C2" s="124"/>
      <c r="D2" s="124"/>
      <c r="E2" s="124"/>
      <c r="F2" s="124"/>
      <c r="G2" s="124"/>
      <c r="H2" s="124"/>
      <c r="I2" s="124"/>
      <c r="J2" s="125"/>
    </row>
    <row r="3" spans="1:26" x14ac:dyDescent="0.25">
      <c r="A3" s="126" t="s">
        <v>2</v>
      </c>
      <c r="B3" s="124"/>
      <c r="C3" s="125"/>
      <c r="D3" s="127">
        <f>FormSampel!F6</f>
        <v>0</v>
      </c>
      <c r="E3" s="124"/>
      <c r="F3" s="124"/>
      <c r="G3" s="124"/>
      <c r="H3" s="124"/>
      <c r="I3" s="124"/>
      <c r="J3" s="125"/>
    </row>
    <row r="4" spans="1:26" x14ac:dyDescent="0.25">
      <c r="A4" s="126" t="s">
        <v>3</v>
      </c>
      <c r="B4" s="124"/>
      <c r="C4" s="125"/>
      <c r="D4" s="127" t="str">
        <f>FormSampel!B2</f>
        <v>120225(2)</v>
      </c>
      <c r="E4" s="124"/>
      <c r="F4" s="124"/>
      <c r="G4" s="124"/>
      <c r="H4" s="124"/>
      <c r="I4" s="124"/>
      <c r="J4" s="125"/>
    </row>
    <row r="5" spans="1:26" ht="15" customHeight="1" x14ac:dyDescent="0.25">
      <c r="A5" s="128" t="s">
        <v>87</v>
      </c>
      <c r="B5" s="124"/>
      <c r="C5" s="124"/>
      <c r="D5" s="124"/>
      <c r="E5" s="124"/>
      <c r="F5" s="124"/>
      <c r="G5" s="124"/>
      <c r="H5" s="124"/>
      <c r="I5" s="124"/>
      <c r="J5" s="125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28" t="s">
        <v>4</v>
      </c>
      <c r="B6" s="124"/>
      <c r="C6" s="124"/>
      <c r="D6" s="124"/>
      <c r="E6" s="124"/>
      <c r="F6" s="124"/>
      <c r="G6" s="124"/>
      <c r="H6" s="124"/>
      <c r="I6" s="124"/>
      <c r="J6" s="125"/>
    </row>
    <row r="7" spans="1:26" ht="30" customHeight="1" x14ac:dyDescent="0.25">
      <c r="A7" s="129" t="s">
        <v>5</v>
      </c>
      <c r="B7" s="119"/>
      <c r="C7" s="130" t="s">
        <v>6</v>
      </c>
      <c r="D7" s="119"/>
      <c r="E7" s="119"/>
      <c r="F7" s="42" t="s">
        <v>7</v>
      </c>
      <c r="G7" s="118" t="s">
        <v>8</v>
      </c>
      <c r="H7" s="119"/>
      <c r="I7" s="119"/>
      <c r="J7" s="120"/>
    </row>
    <row r="8" spans="1:26" ht="15" customHeight="1" x14ac:dyDescent="0.25">
      <c r="A8" s="131" t="s">
        <v>9</v>
      </c>
      <c r="B8" s="113"/>
      <c r="C8" s="132" t="s">
        <v>10</v>
      </c>
      <c r="D8" s="113"/>
      <c r="E8" s="4"/>
      <c r="F8" s="38" t="s">
        <v>11</v>
      </c>
      <c r="G8" s="6" t="s">
        <v>12</v>
      </c>
      <c r="H8" s="6" t="s">
        <v>13</v>
      </c>
      <c r="I8" s="121"/>
      <c r="J8" s="122"/>
    </row>
    <row r="9" spans="1:26" ht="30" customHeight="1" x14ac:dyDescent="0.25">
      <c r="A9" s="133" t="s">
        <v>14</v>
      </c>
      <c r="B9" s="113"/>
      <c r="C9" s="132" t="s">
        <v>15</v>
      </c>
      <c r="D9" s="113"/>
      <c r="E9" s="7"/>
      <c r="F9" s="42" t="s">
        <v>16</v>
      </c>
      <c r="G9" s="8" t="s">
        <v>17</v>
      </c>
      <c r="H9" s="8" t="s">
        <v>18</v>
      </c>
      <c r="I9" s="9"/>
      <c r="J9" s="10"/>
    </row>
    <row r="10" spans="1:26" ht="15" customHeight="1" x14ac:dyDescent="0.25">
      <c r="A10" s="131" t="s">
        <v>19</v>
      </c>
      <c r="B10" s="113"/>
      <c r="C10" s="132" t="s">
        <v>20</v>
      </c>
      <c r="D10" s="113"/>
      <c r="E10" s="7"/>
      <c r="F10" s="42" t="s">
        <v>21</v>
      </c>
      <c r="G10" s="8" t="s">
        <v>22</v>
      </c>
      <c r="H10" s="8" t="s">
        <v>23</v>
      </c>
      <c r="I10" s="11"/>
      <c r="J10" s="10"/>
    </row>
    <row r="11" spans="1:26" ht="30" customHeight="1" x14ac:dyDescent="0.25">
      <c r="A11" s="133" t="s">
        <v>24</v>
      </c>
      <c r="B11" s="113"/>
      <c r="C11" s="136" t="s">
        <v>25</v>
      </c>
      <c r="D11" s="113"/>
      <c r="E11" s="7"/>
      <c r="F11" s="42" t="s">
        <v>26</v>
      </c>
      <c r="G11" s="8" t="s">
        <v>27</v>
      </c>
      <c r="H11" s="8" t="s">
        <v>28</v>
      </c>
      <c r="I11" s="11"/>
      <c r="J11" s="10"/>
    </row>
    <row r="12" spans="1:26" ht="15" customHeight="1" x14ac:dyDescent="0.25">
      <c r="A12" s="131" t="s">
        <v>29</v>
      </c>
      <c r="B12" s="113"/>
      <c r="C12" s="132" t="s">
        <v>30</v>
      </c>
      <c r="D12" s="113"/>
      <c r="E12" s="7"/>
      <c r="F12" s="42" t="s">
        <v>31</v>
      </c>
      <c r="G12" s="8" t="s">
        <v>32</v>
      </c>
      <c r="H12" s="8" t="s">
        <v>33</v>
      </c>
      <c r="I12" s="9"/>
      <c r="J12" s="10"/>
    </row>
    <row r="13" spans="1:26" ht="30" x14ac:dyDescent="0.25">
      <c r="A13" s="131" t="s">
        <v>34</v>
      </c>
      <c r="B13" s="113"/>
      <c r="C13" s="132" t="s">
        <v>35</v>
      </c>
      <c r="D13" s="113"/>
      <c r="E13" s="7"/>
      <c r="F13" s="42" t="s">
        <v>36</v>
      </c>
      <c r="G13" s="8" t="s">
        <v>37</v>
      </c>
      <c r="H13" s="8" t="s">
        <v>38</v>
      </c>
      <c r="I13" s="11"/>
      <c r="J13" s="12"/>
    </row>
    <row r="14" spans="1:26" ht="15" customHeight="1" x14ac:dyDescent="0.25">
      <c r="A14" s="131" t="s">
        <v>39</v>
      </c>
      <c r="B14" s="113"/>
      <c r="C14" s="132" t="s">
        <v>40</v>
      </c>
      <c r="D14" s="113"/>
      <c r="E14" s="7"/>
      <c r="F14" s="134" t="s">
        <v>41</v>
      </c>
      <c r="G14" s="113"/>
      <c r="H14" s="113"/>
      <c r="I14" s="135" t="s">
        <v>42</v>
      </c>
      <c r="J14" s="122"/>
    </row>
    <row r="15" spans="1:26" ht="15" customHeight="1" x14ac:dyDescent="0.25">
      <c r="A15" s="131" t="s">
        <v>43</v>
      </c>
      <c r="B15" s="113"/>
      <c r="C15" s="132" t="s">
        <v>44</v>
      </c>
      <c r="D15" s="113"/>
      <c r="E15" s="7"/>
      <c r="F15" s="43" t="s">
        <v>72</v>
      </c>
      <c r="G15" s="138" t="str">
        <f>FormSampel!B14</f>
        <v>HC 20925173 - 1</v>
      </c>
      <c r="H15" s="138"/>
      <c r="I15" s="93">
        <f>FormSampel!C14</f>
        <v>46356</v>
      </c>
      <c r="J15" s="94"/>
    </row>
    <row r="16" spans="1:26" ht="15" customHeight="1" x14ac:dyDescent="0.25">
      <c r="A16" s="131" t="s">
        <v>45</v>
      </c>
      <c r="B16" s="113"/>
      <c r="C16" s="137" t="s">
        <v>46</v>
      </c>
      <c r="D16" s="113"/>
      <c r="E16" s="113"/>
      <c r="F16" s="44" t="s">
        <v>73</v>
      </c>
      <c r="G16" s="101" t="str">
        <f>FormSampel!B15</f>
        <v>HC 28845526 - 1</v>
      </c>
      <c r="H16" s="101"/>
      <c r="I16" s="93">
        <f>FormSampel!C15</f>
        <v>46173</v>
      </c>
      <c r="J16" s="94"/>
    </row>
    <row r="17" spans="1:26" ht="15" customHeight="1" x14ac:dyDescent="0.25">
      <c r="A17" s="40"/>
      <c r="B17" s="42"/>
      <c r="C17" s="41"/>
      <c r="D17" s="41"/>
      <c r="E17" s="41"/>
      <c r="F17" s="44" t="s">
        <v>74</v>
      </c>
      <c r="G17" s="101" t="str">
        <f>FormSampel!B16</f>
        <v>HC 28959376 - 1</v>
      </c>
      <c r="H17" s="101"/>
      <c r="I17" s="93">
        <f>FormSampel!C16</f>
        <v>46203</v>
      </c>
      <c r="J17" s="94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5" t="s">
        <v>75</v>
      </c>
      <c r="G18" s="100" t="str">
        <f>FormSampel!B17</f>
        <v>HC 33253877 - 1</v>
      </c>
      <c r="H18" s="100"/>
      <c r="I18" s="95">
        <f>FormSampel!C17</f>
        <v>46691</v>
      </c>
      <c r="J18" s="96"/>
    </row>
    <row r="19" spans="1:26" x14ac:dyDescent="0.25">
      <c r="A19" s="97" t="s">
        <v>47</v>
      </c>
      <c r="B19" s="98"/>
      <c r="C19" s="98"/>
      <c r="D19" s="98"/>
      <c r="E19" s="98"/>
      <c r="F19" s="98"/>
      <c r="G19" s="98"/>
      <c r="H19" s="98"/>
      <c r="I19" s="98"/>
      <c r="J19" s="99"/>
    </row>
    <row r="20" spans="1:26" ht="26.25" customHeight="1" x14ac:dyDescent="0.25">
      <c r="A20" s="102" t="s">
        <v>48</v>
      </c>
      <c r="B20" s="103"/>
      <c r="C20" s="29">
        <f>FormSampel!G6</f>
        <v>0</v>
      </c>
      <c r="D20" s="30" t="s">
        <v>49</v>
      </c>
      <c r="E20" s="31">
        <v>1000</v>
      </c>
      <c r="F20" s="104" t="s">
        <v>50</v>
      </c>
      <c r="G20" s="103"/>
      <c r="H20" s="105" t="str">
        <f>IF(AND(C21&lt;0.15),"&lt;0.15",C21)</f>
        <v>&lt;0.15</v>
      </c>
      <c r="I20" s="106"/>
      <c r="J20" s="32" t="s">
        <v>51</v>
      </c>
    </row>
    <row r="21" spans="1:26" ht="15.75" customHeight="1" x14ac:dyDescent="0.25">
      <c r="A21" s="33" t="s">
        <v>52</v>
      </c>
      <c r="B21" s="34"/>
      <c r="C21" s="107">
        <f>C20/1000</f>
        <v>0</v>
      </c>
      <c r="D21" s="108"/>
      <c r="E21" s="35"/>
      <c r="F21" s="34"/>
      <c r="G21" s="34"/>
      <c r="H21" s="34"/>
      <c r="I21" s="34"/>
      <c r="J21" s="32"/>
    </row>
    <row r="22" spans="1:26" ht="15.75" customHeight="1" x14ac:dyDescent="0.25">
      <c r="A22" s="109" t="s">
        <v>55</v>
      </c>
      <c r="B22" s="110"/>
      <c r="C22" s="110"/>
      <c r="D22" s="110"/>
      <c r="E22" s="110"/>
      <c r="F22" s="110"/>
      <c r="G22" s="110"/>
      <c r="H22" s="110"/>
      <c r="I22" s="110"/>
      <c r="J22" s="11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02" t="s">
        <v>48</v>
      </c>
      <c r="B23" s="103"/>
      <c r="C23" s="29">
        <f>FormSampel!H6</f>
        <v>0</v>
      </c>
      <c r="D23" s="30" t="s">
        <v>49</v>
      </c>
      <c r="E23" s="36">
        <v>1000</v>
      </c>
      <c r="F23" s="104" t="s">
        <v>50</v>
      </c>
      <c r="G23" s="103"/>
      <c r="H23" s="105" t="str">
        <f>IF(C24&lt;0.15,"&lt;0.15",C24)</f>
        <v>&lt;0.15</v>
      </c>
      <c r="I23" s="106"/>
      <c r="J23" s="32" t="s">
        <v>51</v>
      </c>
    </row>
    <row r="24" spans="1:26" ht="15.75" customHeight="1" x14ac:dyDescent="0.25">
      <c r="A24" s="33" t="s">
        <v>52</v>
      </c>
      <c r="B24" s="34"/>
      <c r="C24" s="107">
        <f>C23/1000</f>
        <v>0</v>
      </c>
      <c r="D24" s="108"/>
      <c r="E24" s="35"/>
      <c r="F24" s="34"/>
      <c r="G24" s="34"/>
      <c r="H24" s="34"/>
      <c r="I24" s="34"/>
      <c r="J24" s="32"/>
    </row>
    <row r="25" spans="1:26" ht="15.75" customHeight="1" x14ac:dyDescent="0.25">
      <c r="A25" s="109" t="s">
        <v>53</v>
      </c>
      <c r="B25" s="110"/>
      <c r="C25" s="110"/>
      <c r="D25" s="110"/>
      <c r="E25" s="110"/>
      <c r="F25" s="110"/>
      <c r="G25" s="110"/>
      <c r="H25" s="110"/>
      <c r="I25" s="110"/>
      <c r="J25" s="11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12" t="s">
        <v>48</v>
      </c>
      <c r="B26" s="113"/>
      <c r="C26" s="29">
        <f>FormSampel!I6</f>
        <v>0</v>
      </c>
      <c r="D26" s="30" t="s">
        <v>49</v>
      </c>
      <c r="E26" s="36">
        <v>1000</v>
      </c>
      <c r="F26" s="114" t="s">
        <v>50</v>
      </c>
      <c r="G26" s="103"/>
      <c r="H26" s="105" t="str">
        <f>IF(AND(C27&lt;0.15),"&lt;0.15",C27)</f>
        <v>&lt;0.15</v>
      </c>
      <c r="I26" s="106"/>
      <c r="J26" s="37" t="s">
        <v>51</v>
      </c>
    </row>
    <row r="27" spans="1:26" ht="15.75" customHeight="1" x14ac:dyDescent="0.25">
      <c r="A27" s="33" t="s">
        <v>52</v>
      </c>
      <c r="B27" s="34"/>
      <c r="C27" s="115">
        <f>C26/1000</f>
        <v>0</v>
      </c>
      <c r="D27" s="116"/>
      <c r="E27" s="35"/>
      <c r="F27" s="34"/>
      <c r="G27" s="34"/>
      <c r="H27" s="34"/>
      <c r="I27" s="34"/>
      <c r="J27" s="32"/>
    </row>
    <row r="28" spans="1:26" ht="15.75" customHeight="1" x14ac:dyDescent="0.25">
      <c r="A28" s="109" t="s">
        <v>54</v>
      </c>
      <c r="B28" s="110"/>
      <c r="C28" s="110"/>
      <c r="D28" s="110"/>
      <c r="E28" s="110"/>
      <c r="F28" s="110"/>
      <c r="G28" s="110"/>
      <c r="H28" s="110"/>
      <c r="I28" s="110"/>
      <c r="J28" s="11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12" t="s">
        <v>48</v>
      </c>
      <c r="B29" s="113"/>
      <c r="C29" s="29">
        <f>FormSampel!J6</f>
        <v>0</v>
      </c>
      <c r="D29" s="30" t="s">
        <v>49</v>
      </c>
      <c r="E29" s="36">
        <v>1000</v>
      </c>
      <c r="F29" s="117" t="s">
        <v>50</v>
      </c>
      <c r="G29" s="113"/>
      <c r="H29" s="105" t="str">
        <f>IF(AND(C30&lt;0.15),"&lt;0.15",C30)</f>
        <v>&lt;0.15</v>
      </c>
      <c r="I29" s="106"/>
      <c r="J29" s="32" t="s">
        <v>51</v>
      </c>
    </row>
    <row r="30" spans="1:26" ht="15.75" customHeight="1" x14ac:dyDescent="0.25">
      <c r="A30" s="33" t="s">
        <v>52</v>
      </c>
      <c r="B30" s="34"/>
      <c r="C30" s="107">
        <f>C29/1000</f>
        <v>0</v>
      </c>
      <c r="D30" s="108"/>
      <c r="E30" s="35"/>
      <c r="F30" s="34"/>
      <c r="G30" s="34"/>
      <c r="H30" s="34"/>
      <c r="I30" s="34"/>
      <c r="J30" s="32"/>
    </row>
    <row r="31" spans="1:26" ht="15.75" customHeight="1" x14ac:dyDescent="0.25">
      <c r="A31" s="150" t="s">
        <v>56</v>
      </c>
      <c r="B31" s="119"/>
      <c r="C31" s="17"/>
      <c r="D31" s="17"/>
      <c r="E31" s="17"/>
      <c r="F31" s="18" t="s">
        <v>57</v>
      </c>
      <c r="G31" s="17"/>
      <c r="H31" s="17"/>
      <c r="I31" s="17"/>
      <c r="J31" s="19"/>
    </row>
    <row r="32" spans="1:26" ht="15.75" customHeight="1" x14ac:dyDescent="0.25">
      <c r="A32" s="20"/>
      <c r="B32" s="151" t="s">
        <v>58</v>
      </c>
      <c r="C32" s="113"/>
      <c r="D32" s="113"/>
      <c r="E32" s="122"/>
      <c r="F32" s="1"/>
      <c r="G32" s="1"/>
      <c r="H32" s="1"/>
      <c r="I32" s="1"/>
      <c r="J32" s="16"/>
    </row>
    <row r="33" spans="1:26" ht="15.75" customHeight="1" x14ac:dyDescent="0.25">
      <c r="A33" s="20"/>
      <c r="B33" s="113"/>
      <c r="C33" s="113"/>
      <c r="D33" s="113"/>
      <c r="E33" s="122"/>
      <c r="F33" s="21"/>
      <c r="G33" s="1"/>
      <c r="H33" s="1"/>
      <c r="I33" s="1"/>
      <c r="J33" s="16"/>
    </row>
    <row r="34" spans="1:26" ht="15.75" customHeight="1" x14ac:dyDescent="0.25">
      <c r="A34" s="22"/>
      <c r="B34" s="151" t="s">
        <v>59</v>
      </c>
      <c r="C34" s="113"/>
      <c r="D34" s="113"/>
      <c r="E34" s="122"/>
      <c r="F34" s="1"/>
      <c r="G34" s="1"/>
      <c r="H34" s="1"/>
      <c r="I34" s="1"/>
      <c r="J34" s="16"/>
    </row>
    <row r="35" spans="1:26" ht="15.75" customHeight="1" x14ac:dyDescent="0.25">
      <c r="A35" s="22"/>
      <c r="B35" s="113"/>
      <c r="C35" s="113"/>
      <c r="D35" s="113"/>
      <c r="E35" s="122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52" t="s">
        <v>60</v>
      </c>
      <c r="B38" s="119"/>
      <c r="C38" s="119"/>
      <c r="D38" s="119"/>
      <c r="E38" s="120"/>
      <c r="F38" s="139" t="str">
        <f>FormSampel!B19</f>
        <v>AMIR / MAISARAH</v>
      </c>
      <c r="G38" s="140"/>
      <c r="H38" s="143">
        <f>FormSampel!B20</f>
        <v>45700</v>
      </c>
      <c r="I38" s="143"/>
      <c r="J38" s="144"/>
    </row>
    <row r="39" spans="1:26" ht="11.25" customHeight="1" x14ac:dyDescent="0.25">
      <c r="A39" s="148"/>
      <c r="B39" s="149"/>
      <c r="C39" s="149"/>
      <c r="D39" s="149"/>
      <c r="E39" s="153"/>
      <c r="F39" s="141"/>
      <c r="G39" s="142"/>
      <c r="H39" s="145"/>
      <c r="I39" s="145"/>
      <c r="J39" s="146"/>
    </row>
    <row r="40" spans="1:26" ht="15.75" customHeight="1" x14ac:dyDescent="0.25">
      <c r="A40" s="147" t="s">
        <v>61</v>
      </c>
      <c r="B40" s="119"/>
      <c r="C40" s="119"/>
      <c r="D40" s="119"/>
      <c r="E40" s="119"/>
      <c r="F40" s="27"/>
      <c r="G40" s="23"/>
      <c r="H40" s="23"/>
      <c r="I40" s="23"/>
      <c r="J40" s="16"/>
    </row>
    <row r="41" spans="1:26" ht="11.25" customHeight="1" x14ac:dyDescent="0.25">
      <c r="A41" s="148"/>
      <c r="B41" s="149"/>
      <c r="C41" s="149"/>
      <c r="D41" s="149"/>
      <c r="E41" s="149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B34:E35"/>
    <mergeCell ref="A38:E39"/>
    <mergeCell ref="F38:G39"/>
    <mergeCell ref="H38:J39"/>
    <mergeCell ref="A40:E41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A16:B16"/>
    <mergeCell ref="C16:E16"/>
    <mergeCell ref="G16:H16"/>
    <mergeCell ref="I16:J16"/>
    <mergeCell ref="G17:H17"/>
    <mergeCell ref="I17:J17"/>
    <mergeCell ref="F14:H14"/>
    <mergeCell ref="I14:J14"/>
    <mergeCell ref="A15:B15"/>
    <mergeCell ref="C15:D15"/>
    <mergeCell ref="G15:H15"/>
    <mergeCell ref="I15:J15"/>
    <mergeCell ref="A12:B12"/>
    <mergeCell ref="C12:D12"/>
    <mergeCell ref="A13:B13"/>
    <mergeCell ref="C13:D13"/>
    <mergeCell ref="A14:B14"/>
    <mergeCell ref="C14:D14"/>
    <mergeCell ref="A9:B9"/>
    <mergeCell ref="C9:D9"/>
    <mergeCell ref="A10:B10"/>
    <mergeCell ref="C10:D10"/>
    <mergeCell ref="A11:B11"/>
    <mergeCell ref="C11:D11"/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</mergeCells>
  <pageMargins left="0.7" right="0.7" top="0.75" bottom="0.75" header="0" footer="0"/>
  <pageSetup paperSize="9" orientation="portrait" r:id="rId1"/>
  <headerFooter>
    <oddHeader>&amp;LPKKK/UAT/003B&amp;R16-Dis-2024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9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0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1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2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79BAB3-5406-4BBE-8CB7-3C4BBD174386}">
  <sheetPr codeName="Sheet4"/>
  <dimension ref="A1:Z579"/>
  <sheetViews>
    <sheetView view="pageLayout" topLeftCell="A19" zoomScale="112" zoomScaleNormal="100" zoomScalePageLayoutView="112" workbookViewId="0">
      <selection activeCell="C29" sqref="C29"/>
    </sheetView>
  </sheetViews>
  <sheetFormatPr defaultColWidth="14.42578125" defaultRowHeight="15" customHeight="1" x14ac:dyDescent="0.25"/>
  <cols>
    <col min="1" max="1" width="12.85546875" style="39" customWidth="1"/>
    <col min="2" max="2" width="8" style="39" customWidth="1"/>
    <col min="3" max="3" width="11.28515625" style="39" customWidth="1"/>
    <col min="4" max="4" width="6" style="39" customWidth="1"/>
    <col min="5" max="5" width="6.85546875" style="39" customWidth="1"/>
    <col min="6" max="6" width="12.140625" style="39" customWidth="1"/>
    <col min="7" max="7" width="10" style="39" customWidth="1"/>
    <col min="8" max="8" width="8.5703125" style="39" customWidth="1"/>
    <col min="9" max="9" width="4.5703125" style="39" customWidth="1"/>
    <col min="10" max="10" width="6.7109375" style="39" customWidth="1"/>
    <col min="11" max="11" width="8" style="39" customWidth="1"/>
    <col min="12" max="16384" width="14.42578125" style="39"/>
  </cols>
  <sheetData>
    <row r="1" spans="1:26" x14ac:dyDescent="0.25">
      <c r="A1" s="123" t="s">
        <v>0</v>
      </c>
      <c r="B1" s="124"/>
      <c r="C1" s="124"/>
      <c r="D1" s="124"/>
      <c r="E1" s="124"/>
      <c r="F1" s="124"/>
      <c r="G1" s="124"/>
      <c r="H1" s="124"/>
      <c r="I1" s="124"/>
      <c r="J1" s="125"/>
    </row>
    <row r="2" spans="1:26" x14ac:dyDescent="0.25">
      <c r="A2" s="123" t="s">
        <v>1</v>
      </c>
      <c r="B2" s="124"/>
      <c r="C2" s="124"/>
      <c r="D2" s="124"/>
      <c r="E2" s="124"/>
      <c r="F2" s="124"/>
      <c r="G2" s="124"/>
      <c r="H2" s="124"/>
      <c r="I2" s="124"/>
      <c r="J2" s="125"/>
    </row>
    <row r="3" spans="1:26" x14ac:dyDescent="0.25">
      <c r="A3" s="126" t="s">
        <v>2</v>
      </c>
      <c r="B3" s="124"/>
      <c r="C3" s="125"/>
      <c r="D3" s="127">
        <f>FormSampel!F7</f>
        <v>0</v>
      </c>
      <c r="E3" s="124"/>
      <c r="F3" s="124"/>
      <c r="G3" s="124"/>
      <c r="H3" s="124"/>
      <c r="I3" s="124"/>
      <c r="J3" s="125"/>
    </row>
    <row r="4" spans="1:26" x14ac:dyDescent="0.25">
      <c r="A4" s="126" t="s">
        <v>3</v>
      </c>
      <c r="B4" s="124"/>
      <c r="C4" s="125"/>
      <c r="D4" s="127" t="str">
        <f>FormSampel!B2</f>
        <v>120225(2)</v>
      </c>
      <c r="E4" s="124"/>
      <c r="F4" s="124"/>
      <c r="G4" s="124"/>
      <c r="H4" s="124"/>
      <c r="I4" s="124"/>
      <c r="J4" s="125"/>
    </row>
    <row r="5" spans="1:26" ht="15" customHeight="1" x14ac:dyDescent="0.25">
      <c r="A5" s="128" t="s">
        <v>87</v>
      </c>
      <c r="B5" s="124"/>
      <c r="C5" s="124"/>
      <c r="D5" s="124"/>
      <c r="E5" s="124"/>
      <c r="F5" s="124"/>
      <c r="G5" s="124"/>
      <c r="H5" s="124"/>
      <c r="I5" s="124"/>
      <c r="J5" s="125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28" t="s">
        <v>4</v>
      </c>
      <c r="B6" s="124"/>
      <c r="C6" s="124"/>
      <c r="D6" s="124"/>
      <c r="E6" s="124"/>
      <c r="F6" s="124"/>
      <c r="G6" s="124"/>
      <c r="H6" s="124"/>
      <c r="I6" s="124"/>
      <c r="J6" s="125"/>
    </row>
    <row r="7" spans="1:26" ht="30" customHeight="1" x14ac:dyDescent="0.25">
      <c r="A7" s="129" t="s">
        <v>5</v>
      </c>
      <c r="B7" s="119"/>
      <c r="C7" s="130" t="s">
        <v>6</v>
      </c>
      <c r="D7" s="119"/>
      <c r="E7" s="119"/>
      <c r="F7" s="42" t="s">
        <v>7</v>
      </c>
      <c r="G7" s="118" t="s">
        <v>8</v>
      </c>
      <c r="H7" s="119"/>
      <c r="I7" s="119"/>
      <c r="J7" s="120"/>
    </row>
    <row r="8" spans="1:26" ht="15" customHeight="1" x14ac:dyDescent="0.25">
      <c r="A8" s="131" t="s">
        <v>9</v>
      </c>
      <c r="B8" s="113"/>
      <c r="C8" s="132" t="s">
        <v>10</v>
      </c>
      <c r="D8" s="113"/>
      <c r="E8" s="4"/>
      <c r="F8" s="38" t="s">
        <v>11</v>
      </c>
      <c r="G8" s="6" t="s">
        <v>12</v>
      </c>
      <c r="H8" s="6" t="s">
        <v>13</v>
      </c>
      <c r="I8" s="121"/>
      <c r="J8" s="122"/>
    </row>
    <row r="9" spans="1:26" ht="30" customHeight="1" x14ac:dyDescent="0.25">
      <c r="A9" s="133" t="s">
        <v>14</v>
      </c>
      <c r="B9" s="113"/>
      <c r="C9" s="132" t="s">
        <v>15</v>
      </c>
      <c r="D9" s="113"/>
      <c r="E9" s="7"/>
      <c r="F9" s="42" t="s">
        <v>16</v>
      </c>
      <c r="G9" s="8" t="s">
        <v>17</v>
      </c>
      <c r="H9" s="8" t="s">
        <v>18</v>
      </c>
      <c r="I9" s="9"/>
      <c r="J9" s="10"/>
    </row>
    <row r="10" spans="1:26" ht="15" customHeight="1" x14ac:dyDescent="0.25">
      <c r="A10" s="131" t="s">
        <v>19</v>
      </c>
      <c r="B10" s="113"/>
      <c r="C10" s="132" t="s">
        <v>20</v>
      </c>
      <c r="D10" s="113"/>
      <c r="E10" s="7"/>
      <c r="F10" s="42" t="s">
        <v>21</v>
      </c>
      <c r="G10" s="8" t="s">
        <v>22</v>
      </c>
      <c r="H10" s="8" t="s">
        <v>23</v>
      </c>
      <c r="I10" s="11"/>
      <c r="J10" s="10"/>
    </row>
    <row r="11" spans="1:26" ht="30" customHeight="1" x14ac:dyDescent="0.25">
      <c r="A11" s="133" t="s">
        <v>24</v>
      </c>
      <c r="B11" s="113"/>
      <c r="C11" s="136" t="s">
        <v>25</v>
      </c>
      <c r="D11" s="113"/>
      <c r="E11" s="7"/>
      <c r="F11" s="42" t="s">
        <v>26</v>
      </c>
      <c r="G11" s="8" t="s">
        <v>27</v>
      </c>
      <c r="H11" s="8" t="s">
        <v>28</v>
      </c>
      <c r="I11" s="11"/>
      <c r="J11" s="10"/>
    </row>
    <row r="12" spans="1:26" ht="15" customHeight="1" x14ac:dyDescent="0.25">
      <c r="A12" s="131" t="s">
        <v>29</v>
      </c>
      <c r="B12" s="113"/>
      <c r="C12" s="132" t="s">
        <v>30</v>
      </c>
      <c r="D12" s="113"/>
      <c r="E12" s="7"/>
      <c r="F12" s="42" t="s">
        <v>31</v>
      </c>
      <c r="G12" s="8" t="s">
        <v>32</v>
      </c>
      <c r="H12" s="8" t="s">
        <v>33</v>
      </c>
      <c r="I12" s="9"/>
      <c r="J12" s="10"/>
    </row>
    <row r="13" spans="1:26" ht="30" x14ac:dyDescent="0.25">
      <c r="A13" s="131" t="s">
        <v>34</v>
      </c>
      <c r="B13" s="113"/>
      <c r="C13" s="132" t="s">
        <v>35</v>
      </c>
      <c r="D13" s="113"/>
      <c r="E13" s="7"/>
      <c r="F13" s="42" t="s">
        <v>36</v>
      </c>
      <c r="G13" s="8" t="s">
        <v>37</v>
      </c>
      <c r="H13" s="8" t="s">
        <v>38</v>
      </c>
      <c r="I13" s="11"/>
      <c r="J13" s="12"/>
    </row>
    <row r="14" spans="1:26" ht="15" customHeight="1" x14ac:dyDescent="0.25">
      <c r="A14" s="131" t="s">
        <v>39</v>
      </c>
      <c r="B14" s="113"/>
      <c r="C14" s="132" t="s">
        <v>40</v>
      </c>
      <c r="D14" s="113"/>
      <c r="E14" s="7"/>
      <c r="F14" s="134" t="s">
        <v>41</v>
      </c>
      <c r="G14" s="113"/>
      <c r="H14" s="113"/>
      <c r="I14" s="135" t="s">
        <v>42</v>
      </c>
      <c r="J14" s="122"/>
    </row>
    <row r="15" spans="1:26" ht="15" customHeight="1" x14ac:dyDescent="0.25">
      <c r="A15" s="131" t="s">
        <v>43</v>
      </c>
      <c r="B15" s="113"/>
      <c r="C15" s="132" t="s">
        <v>44</v>
      </c>
      <c r="D15" s="113"/>
      <c r="E15" s="7"/>
      <c r="F15" s="43" t="s">
        <v>72</v>
      </c>
      <c r="G15" s="138" t="str">
        <f>FormSampel!B14</f>
        <v>HC 20925173 - 1</v>
      </c>
      <c r="H15" s="138"/>
      <c r="I15" s="93">
        <f>FormSampel!C14</f>
        <v>46356</v>
      </c>
      <c r="J15" s="94"/>
    </row>
    <row r="16" spans="1:26" ht="15" customHeight="1" x14ac:dyDescent="0.25">
      <c r="A16" s="131" t="s">
        <v>45</v>
      </c>
      <c r="B16" s="113"/>
      <c r="C16" s="137" t="s">
        <v>46</v>
      </c>
      <c r="D16" s="113"/>
      <c r="E16" s="113"/>
      <c r="F16" s="44" t="s">
        <v>73</v>
      </c>
      <c r="G16" s="101" t="str">
        <f>FormSampel!B15</f>
        <v>HC 28845526 - 1</v>
      </c>
      <c r="H16" s="101"/>
      <c r="I16" s="93">
        <f>FormSampel!C15</f>
        <v>46173</v>
      </c>
      <c r="J16" s="94"/>
    </row>
    <row r="17" spans="1:26" ht="15" customHeight="1" x14ac:dyDescent="0.25">
      <c r="A17" s="40"/>
      <c r="B17" s="42"/>
      <c r="C17" s="41"/>
      <c r="D17" s="41"/>
      <c r="E17" s="41"/>
      <c r="F17" s="44" t="s">
        <v>74</v>
      </c>
      <c r="G17" s="101" t="str">
        <f>FormSampel!B16</f>
        <v>HC 28959376 - 1</v>
      </c>
      <c r="H17" s="101"/>
      <c r="I17" s="93">
        <f>FormSampel!C16</f>
        <v>46203</v>
      </c>
      <c r="J17" s="94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5" t="s">
        <v>75</v>
      </c>
      <c r="G18" s="100" t="str">
        <f>FormSampel!B17</f>
        <v>HC 33253877 - 1</v>
      </c>
      <c r="H18" s="100"/>
      <c r="I18" s="95">
        <f>FormSampel!C17</f>
        <v>46691</v>
      </c>
      <c r="J18" s="96"/>
    </row>
    <row r="19" spans="1:26" x14ac:dyDescent="0.25">
      <c r="A19" s="97" t="s">
        <v>47</v>
      </c>
      <c r="B19" s="98"/>
      <c r="C19" s="98"/>
      <c r="D19" s="98"/>
      <c r="E19" s="98"/>
      <c r="F19" s="98"/>
      <c r="G19" s="98"/>
      <c r="H19" s="98"/>
      <c r="I19" s="98"/>
      <c r="J19" s="99"/>
    </row>
    <row r="20" spans="1:26" ht="26.25" customHeight="1" x14ac:dyDescent="0.25">
      <c r="A20" s="102" t="s">
        <v>48</v>
      </c>
      <c r="B20" s="103"/>
      <c r="C20" s="29">
        <f>FormSampel!G7</f>
        <v>0</v>
      </c>
      <c r="D20" s="30" t="s">
        <v>49</v>
      </c>
      <c r="E20" s="31">
        <v>1000</v>
      </c>
      <c r="F20" s="104" t="s">
        <v>50</v>
      </c>
      <c r="G20" s="103"/>
      <c r="H20" s="105" t="str">
        <f>IF(AND(C21&lt;0.15),"&lt;0.15",C21)</f>
        <v>&lt;0.15</v>
      </c>
      <c r="I20" s="106"/>
      <c r="J20" s="32" t="s">
        <v>51</v>
      </c>
    </row>
    <row r="21" spans="1:26" ht="15.75" customHeight="1" x14ac:dyDescent="0.25">
      <c r="A21" s="33" t="s">
        <v>52</v>
      </c>
      <c r="B21" s="34"/>
      <c r="C21" s="107">
        <f>C20/1000</f>
        <v>0</v>
      </c>
      <c r="D21" s="108"/>
      <c r="E21" s="35"/>
      <c r="F21" s="34"/>
      <c r="G21" s="34"/>
      <c r="H21" s="34"/>
      <c r="I21" s="34"/>
      <c r="J21" s="32"/>
    </row>
    <row r="22" spans="1:26" ht="15.75" customHeight="1" x14ac:dyDescent="0.25">
      <c r="A22" s="109" t="s">
        <v>55</v>
      </c>
      <c r="B22" s="110"/>
      <c r="C22" s="110"/>
      <c r="D22" s="110"/>
      <c r="E22" s="110"/>
      <c r="F22" s="110"/>
      <c r="G22" s="110"/>
      <c r="H22" s="110"/>
      <c r="I22" s="110"/>
      <c r="J22" s="11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02" t="s">
        <v>48</v>
      </c>
      <c r="B23" s="103"/>
      <c r="C23" s="29">
        <f>FormSampel!H7</f>
        <v>0</v>
      </c>
      <c r="D23" s="30" t="s">
        <v>49</v>
      </c>
      <c r="E23" s="36">
        <v>1000</v>
      </c>
      <c r="F23" s="104" t="s">
        <v>50</v>
      </c>
      <c r="G23" s="103"/>
      <c r="H23" s="105" t="str">
        <f>IF(C24&lt;0.15,"&lt;0.15",C24)</f>
        <v>&lt;0.15</v>
      </c>
      <c r="I23" s="106"/>
      <c r="J23" s="32" t="s">
        <v>51</v>
      </c>
    </row>
    <row r="24" spans="1:26" ht="15.75" customHeight="1" x14ac:dyDescent="0.25">
      <c r="A24" s="33" t="s">
        <v>52</v>
      </c>
      <c r="B24" s="34"/>
      <c r="C24" s="107">
        <f>C23/1000</f>
        <v>0</v>
      </c>
      <c r="D24" s="108"/>
      <c r="E24" s="35"/>
      <c r="F24" s="34"/>
      <c r="G24" s="34"/>
      <c r="H24" s="34"/>
      <c r="I24" s="34"/>
      <c r="J24" s="32"/>
    </row>
    <row r="25" spans="1:26" ht="15.75" customHeight="1" x14ac:dyDescent="0.25">
      <c r="A25" s="109" t="s">
        <v>53</v>
      </c>
      <c r="B25" s="110"/>
      <c r="C25" s="110"/>
      <c r="D25" s="110"/>
      <c r="E25" s="110"/>
      <c r="F25" s="110"/>
      <c r="G25" s="110"/>
      <c r="H25" s="110"/>
      <c r="I25" s="110"/>
      <c r="J25" s="11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12" t="s">
        <v>48</v>
      </c>
      <c r="B26" s="113"/>
      <c r="C26" s="29">
        <f>FormSampel!I7</f>
        <v>0</v>
      </c>
      <c r="D26" s="30" t="s">
        <v>49</v>
      </c>
      <c r="E26" s="36">
        <v>1000</v>
      </c>
      <c r="F26" s="114" t="s">
        <v>50</v>
      </c>
      <c r="G26" s="103"/>
      <c r="H26" s="105" t="str">
        <f>IF(AND(C27&lt;0.15),"&lt;0.15",C27)</f>
        <v>&lt;0.15</v>
      </c>
      <c r="I26" s="106"/>
      <c r="J26" s="37" t="s">
        <v>51</v>
      </c>
    </row>
    <row r="27" spans="1:26" ht="15.75" customHeight="1" x14ac:dyDescent="0.25">
      <c r="A27" s="33" t="s">
        <v>52</v>
      </c>
      <c r="B27" s="34"/>
      <c r="C27" s="115">
        <f>C26/1000</f>
        <v>0</v>
      </c>
      <c r="D27" s="116"/>
      <c r="E27" s="35"/>
      <c r="F27" s="34"/>
      <c r="G27" s="34"/>
      <c r="H27" s="34"/>
      <c r="I27" s="34"/>
      <c r="J27" s="32"/>
    </row>
    <row r="28" spans="1:26" ht="15.75" customHeight="1" x14ac:dyDescent="0.25">
      <c r="A28" s="109" t="s">
        <v>54</v>
      </c>
      <c r="B28" s="110"/>
      <c r="C28" s="110"/>
      <c r="D28" s="110"/>
      <c r="E28" s="110"/>
      <c r="F28" s="110"/>
      <c r="G28" s="110"/>
      <c r="H28" s="110"/>
      <c r="I28" s="110"/>
      <c r="J28" s="11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12" t="s">
        <v>48</v>
      </c>
      <c r="B29" s="113"/>
      <c r="C29" s="29">
        <f>FormSampel!J7</f>
        <v>0</v>
      </c>
      <c r="D29" s="30" t="s">
        <v>49</v>
      </c>
      <c r="E29" s="36">
        <v>1000</v>
      </c>
      <c r="F29" s="117" t="s">
        <v>50</v>
      </c>
      <c r="G29" s="113"/>
      <c r="H29" s="105" t="str">
        <f>IF(AND(C30&lt;0.15),"&lt;0.15",C30)</f>
        <v>&lt;0.15</v>
      </c>
      <c r="I29" s="106"/>
      <c r="J29" s="32" t="s">
        <v>51</v>
      </c>
    </row>
    <row r="30" spans="1:26" ht="15.75" customHeight="1" x14ac:dyDescent="0.25">
      <c r="A30" s="33" t="s">
        <v>52</v>
      </c>
      <c r="B30" s="34"/>
      <c r="C30" s="107">
        <f>C29/1000</f>
        <v>0</v>
      </c>
      <c r="D30" s="108"/>
      <c r="E30" s="35"/>
      <c r="F30" s="34"/>
      <c r="G30" s="34"/>
      <c r="H30" s="34"/>
      <c r="I30" s="34"/>
      <c r="J30" s="32"/>
    </row>
    <row r="31" spans="1:26" ht="15.75" customHeight="1" x14ac:dyDescent="0.25">
      <c r="A31" s="150" t="s">
        <v>56</v>
      </c>
      <c r="B31" s="119"/>
      <c r="C31" s="17"/>
      <c r="D31" s="17"/>
      <c r="E31" s="17"/>
      <c r="F31" s="18" t="s">
        <v>57</v>
      </c>
      <c r="G31" s="17"/>
      <c r="H31" s="17"/>
      <c r="I31" s="17"/>
      <c r="J31" s="19"/>
    </row>
    <row r="32" spans="1:26" ht="15.75" customHeight="1" x14ac:dyDescent="0.25">
      <c r="A32" s="20"/>
      <c r="B32" s="151" t="s">
        <v>58</v>
      </c>
      <c r="C32" s="113"/>
      <c r="D32" s="113"/>
      <c r="E32" s="122"/>
      <c r="F32" s="1"/>
      <c r="G32" s="1"/>
      <c r="H32" s="1"/>
      <c r="I32" s="1"/>
      <c r="J32" s="16"/>
    </row>
    <row r="33" spans="1:26" ht="15.75" customHeight="1" x14ac:dyDescent="0.25">
      <c r="A33" s="20"/>
      <c r="B33" s="113"/>
      <c r="C33" s="113"/>
      <c r="D33" s="113"/>
      <c r="E33" s="122"/>
      <c r="F33" s="21"/>
      <c r="G33" s="1"/>
      <c r="H33" s="1"/>
      <c r="I33" s="1"/>
      <c r="J33" s="16"/>
    </row>
    <row r="34" spans="1:26" ht="15.75" customHeight="1" x14ac:dyDescent="0.25">
      <c r="A34" s="22"/>
      <c r="B34" s="151" t="s">
        <v>59</v>
      </c>
      <c r="C34" s="113"/>
      <c r="D34" s="113"/>
      <c r="E34" s="122"/>
      <c r="F34" s="1"/>
      <c r="G34" s="1"/>
      <c r="H34" s="1"/>
      <c r="I34" s="1"/>
      <c r="J34" s="16"/>
    </row>
    <row r="35" spans="1:26" ht="15.75" customHeight="1" x14ac:dyDescent="0.25">
      <c r="A35" s="22"/>
      <c r="B35" s="113"/>
      <c r="C35" s="113"/>
      <c r="D35" s="113"/>
      <c r="E35" s="122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52" t="s">
        <v>60</v>
      </c>
      <c r="B38" s="119"/>
      <c r="C38" s="119"/>
      <c r="D38" s="119"/>
      <c r="E38" s="120"/>
      <c r="F38" s="139" t="str">
        <f>FormSampel!B19</f>
        <v>AMIR / MAISARAH</v>
      </c>
      <c r="G38" s="140"/>
      <c r="H38" s="143">
        <f>FormSampel!B20</f>
        <v>45700</v>
      </c>
      <c r="I38" s="143"/>
      <c r="J38" s="144"/>
    </row>
    <row r="39" spans="1:26" ht="11.25" customHeight="1" x14ac:dyDescent="0.25">
      <c r="A39" s="148"/>
      <c r="B39" s="149"/>
      <c r="C39" s="149"/>
      <c r="D39" s="149"/>
      <c r="E39" s="153"/>
      <c r="F39" s="141"/>
      <c r="G39" s="142"/>
      <c r="H39" s="145"/>
      <c r="I39" s="145"/>
      <c r="J39" s="146"/>
    </row>
    <row r="40" spans="1:26" ht="15.75" customHeight="1" x14ac:dyDescent="0.25">
      <c r="A40" s="147" t="s">
        <v>61</v>
      </c>
      <c r="B40" s="119"/>
      <c r="C40" s="119"/>
      <c r="D40" s="119"/>
      <c r="E40" s="119"/>
      <c r="F40" s="27"/>
      <c r="G40" s="23"/>
      <c r="H40" s="23"/>
      <c r="I40" s="23"/>
      <c r="J40" s="16"/>
    </row>
    <row r="41" spans="1:26" ht="11.25" customHeight="1" x14ac:dyDescent="0.25">
      <c r="A41" s="148"/>
      <c r="B41" s="149"/>
      <c r="C41" s="149"/>
      <c r="D41" s="149"/>
      <c r="E41" s="149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B34:E35"/>
    <mergeCell ref="A38:E39"/>
    <mergeCell ref="F38:G39"/>
    <mergeCell ref="H38:J39"/>
    <mergeCell ref="A40:E41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A16:B16"/>
    <mergeCell ref="C16:E16"/>
    <mergeCell ref="G16:H16"/>
    <mergeCell ref="I16:J16"/>
    <mergeCell ref="G17:H17"/>
    <mergeCell ref="I17:J17"/>
    <mergeCell ref="F14:H14"/>
    <mergeCell ref="I14:J14"/>
    <mergeCell ref="A15:B15"/>
    <mergeCell ref="C15:D15"/>
    <mergeCell ref="G15:H15"/>
    <mergeCell ref="I15:J15"/>
    <mergeCell ref="A12:B12"/>
    <mergeCell ref="C12:D12"/>
    <mergeCell ref="A13:B13"/>
    <mergeCell ref="C13:D13"/>
    <mergeCell ref="A14:B14"/>
    <mergeCell ref="C14:D14"/>
    <mergeCell ref="A9:B9"/>
    <mergeCell ref="C9:D9"/>
    <mergeCell ref="A10:B10"/>
    <mergeCell ref="C10:D10"/>
    <mergeCell ref="A11:B11"/>
    <mergeCell ref="C11:D11"/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</mergeCells>
  <pageMargins left="0.7" right="0.7" top="0.75" bottom="0.75" header="0" footer="0"/>
  <pageSetup paperSize="9" orientation="portrait" r:id="rId1"/>
  <headerFooter>
    <oddHeader>&amp;LPKKK/UAT/003B&amp;R16-Dis-2024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2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3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4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5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6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B0FB7E-DC00-40BB-81A8-C80C4A6DD81D}">
  <sheetPr codeName="Sheet5"/>
  <dimension ref="A1:Z579"/>
  <sheetViews>
    <sheetView view="pageLayout" topLeftCell="A19" zoomScale="112" zoomScaleNormal="100" zoomScalePageLayoutView="112" workbookViewId="0">
      <selection activeCell="C29" sqref="C29"/>
    </sheetView>
  </sheetViews>
  <sheetFormatPr defaultColWidth="14.42578125" defaultRowHeight="15" customHeight="1" x14ac:dyDescent="0.25"/>
  <cols>
    <col min="1" max="1" width="12.85546875" style="39" customWidth="1"/>
    <col min="2" max="2" width="8" style="39" customWidth="1"/>
    <col min="3" max="3" width="11.28515625" style="39" customWidth="1"/>
    <col min="4" max="4" width="6" style="39" customWidth="1"/>
    <col min="5" max="5" width="6.85546875" style="39" customWidth="1"/>
    <col min="6" max="6" width="12.140625" style="39" customWidth="1"/>
    <col min="7" max="7" width="10" style="39" customWidth="1"/>
    <col min="8" max="8" width="8.5703125" style="39" customWidth="1"/>
    <col min="9" max="9" width="4.5703125" style="39" customWidth="1"/>
    <col min="10" max="10" width="6.7109375" style="39" customWidth="1"/>
    <col min="11" max="11" width="8" style="39" customWidth="1"/>
    <col min="12" max="16384" width="14.42578125" style="39"/>
  </cols>
  <sheetData>
    <row r="1" spans="1:26" x14ac:dyDescent="0.25">
      <c r="A1" s="123" t="s">
        <v>0</v>
      </c>
      <c r="B1" s="124"/>
      <c r="C1" s="124"/>
      <c r="D1" s="124"/>
      <c r="E1" s="124"/>
      <c r="F1" s="124"/>
      <c r="G1" s="124"/>
      <c r="H1" s="124"/>
      <c r="I1" s="124"/>
      <c r="J1" s="125"/>
    </row>
    <row r="2" spans="1:26" x14ac:dyDescent="0.25">
      <c r="A2" s="123" t="s">
        <v>1</v>
      </c>
      <c r="B2" s="124"/>
      <c r="C2" s="124"/>
      <c r="D2" s="124"/>
      <c r="E2" s="124"/>
      <c r="F2" s="124"/>
      <c r="G2" s="124"/>
      <c r="H2" s="124"/>
      <c r="I2" s="124"/>
      <c r="J2" s="125"/>
    </row>
    <row r="3" spans="1:26" x14ac:dyDescent="0.25">
      <c r="A3" s="126" t="s">
        <v>2</v>
      </c>
      <c r="B3" s="124"/>
      <c r="C3" s="125"/>
      <c r="D3" s="127">
        <f>FormSampel!F8</f>
        <v>0</v>
      </c>
      <c r="E3" s="124"/>
      <c r="F3" s="124"/>
      <c r="G3" s="124"/>
      <c r="H3" s="124"/>
      <c r="I3" s="124"/>
      <c r="J3" s="125"/>
    </row>
    <row r="4" spans="1:26" x14ac:dyDescent="0.25">
      <c r="A4" s="126" t="s">
        <v>3</v>
      </c>
      <c r="B4" s="124"/>
      <c r="C4" s="125"/>
      <c r="D4" s="127" t="str">
        <f>FormSampel!B2</f>
        <v>120225(2)</v>
      </c>
      <c r="E4" s="124"/>
      <c r="F4" s="124"/>
      <c r="G4" s="124"/>
      <c r="H4" s="124"/>
      <c r="I4" s="124"/>
      <c r="J4" s="125"/>
    </row>
    <row r="5" spans="1:26" ht="15" customHeight="1" x14ac:dyDescent="0.25">
      <c r="A5" s="128" t="s">
        <v>87</v>
      </c>
      <c r="B5" s="124"/>
      <c r="C5" s="124"/>
      <c r="D5" s="124"/>
      <c r="E5" s="124"/>
      <c r="F5" s="124"/>
      <c r="G5" s="124"/>
      <c r="H5" s="124"/>
      <c r="I5" s="124"/>
      <c r="J5" s="125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28" t="s">
        <v>4</v>
      </c>
      <c r="B6" s="124"/>
      <c r="C6" s="124"/>
      <c r="D6" s="124"/>
      <c r="E6" s="124"/>
      <c r="F6" s="124"/>
      <c r="G6" s="124"/>
      <c r="H6" s="124"/>
      <c r="I6" s="124"/>
      <c r="J6" s="125"/>
    </row>
    <row r="7" spans="1:26" ht="30" customHeight="1" x14ac:dyDescent="0.25">
      <c r="A7" s="129" t="s">
        <v>5</v>
      </c>
      <c r="B7" s="119"/>
      <c r="C7" s="130" t="s">
        <v>6</v>
      </c>
      <c r="D7" s="119"/>
      <c r="E7" s="119"/>
      <c r="F7" s="42" t="s">
        <v>7</v>
      </c>
      <c r="G7" s="118" t="s">
        <v>8</v>
      </c>
      <c r="H7" s="119"/>
      <c r="I7" s="119"/>
      <c r="J7" s="120"/>
    </row>
    <row r="8" spans="1:26" ht="15" customHeight="1" x14ac:dyDescent="0.25">
      <c r="A8" s="131" t="s">
        <v>9</v>
      </c>
      <c r="B8" s="113"/>
      <c r="C8" s="132" t="s">
        <v>10</v>
      </c>
      <c r="D8" s="113"/>
      <c r="E8" s="4"/>
      <c r="F8" s="38" t="s">
        <v>11</v>
      </c>
      <c r="G8" s="6" t="s">
        <v>12</v>
      </c>
      <c r="H8" s="6" t="s">
        <v>13</v>
      </c>
      <c r="I8" s="121"/>
      <c r="J8" s="122"/>
    </row>
    <row r="9" spans="1:26" ht="30" customHeight="1" x14ac:dyDescent="0.25">
      <c r="A9" s="133" t="s">
        <v>14</v>
      </c>
      <c r="B9" s="113"/>
      <c r="C9" s="132" t="s">
        <v>15</v>
      </c>
      <c r="D9" s="113"/>
      <c r="E9" s="7"/>
      <c r="F9" s="42" t="s">
        <v>16</v>
      </c>
      <c r="G9" s="8" t="s">
        <v>17</v>
      </c>
      <c r="H9" s="8" t="s">
        <v>18</v>
      </c>
      <c r="I9" s="9"/>
      <c r="J9" s="10"/>
    </row>
    <row r="10" spans="1:26" ht="15" customHeight="1" x14ac:dyDescent="0.25">
      <c r="A10" s="131" t="s">
        <v>19</v>
      </c>
      <c r="B10" s="113"/>
      <c r="C10" s="132" t="s">
        <v>20</v>
      </c>
      <c r="D10" s="113"/>
      <c r="E10" s="7"/>
      <c r="F10" s="42" t="s">
        <v>21</v>
      </c>
      <c r="G10" s="8" t="s">
        <v>22</v>
      </c>
      <c r="H10" s="8" t="s">
        <v>23</v>
      </c>
      <c r="I10" s="11"/>
      <c r="J10" s="10"/>
    </row>
    <row r="11" spans="1:26" ht="30" customHeight="1" x14ac:dyDescent="0.25">
      <c r="A11" s="133" t="s">
        <v>24</v>
      </c>
      <c r="B11" s="113"/>
      <c r="C11" s="136" t="s">
        <v>25</v>
      </c>
      <c r="D11" s="113"/>
      <c r="E11" s="7"/>
      <c r="F11" s="42" t="s">
        <v>26</v>
      </c>
      <c r="G11" s="8" t="s">
        <v>27</v>
      </c>
      <c r="H11" s="8" t="s">
        <v>28</v>
      </c>
      <c r="I11" s="11"/>
      <c r="J11" s="10"/>
    </row>
    <row r="12" spans="1:26" ht="15" customHeight="1" x14ac:dyDescent="0.25">
      <c r="A12" s="131" t="s">
        <v>29</v>
      </c>
      <c r="B12" s="113"/>
      <c r="C12" s="132" t="s">
        <v>30</v>
      </c>
      <c r="D12" s="113"/>
      <c r="E12" s="7"/>
      <c r="F12" s="42" t="s">
        <v>31</v>
      </c>
      <c r="G12" s="8" t="s">
        <v>32</v>
      </c>
      <c r="H12" s="8" t="s">
        <v>33</v>
      </c>
      <c r="I12" s="9"/>
      <c r="J12" s="10"/>
    </row>
    <row r="13" spans="1:26" ht="30" x14ac:dyDescent="0.25">
      <c r="A13" s="131" t="s">
        <v>34</v>
      </c>
      <c r="B13" s="113"/>
      <c r="C13" s="132" t="s">
        <v>35</v>
      </c>
      <c r="D13" s="113"/>
      <c r="E13" s="7"/>
      <c r="F13" s="42" t="s">
        <v>36</v>
      </c>
      <c r="G13" s="8" t="s">
        <v>37</v>
      </c>
      <c r="H13" s="8" t="s">
        <v>38</v>
      </c>
      <c r="I13" s="11"/>
      <c r="J13" s="12"/>
    </row>
    <row r="14" spans="1:26" ht="15" customHeight="1" x14ac:dyDescent="0.25">
      <c r="A14" s="131" t="s">
        <v>39</v>
      </c>
      <c r="B14" s="113"/>
      <c r="C14" s="132" t="s">
        <v>40</v>
      </c>
      <c r="D14" s="113"/>
      <c r="E14" s="7"/>
      <c r="F14" s="134" t="s">
        <v>41</v>
      </c>
      <c r="G14" s="113"/>
      <c r="H14" s="113"/>
      <c r="I14" s="135" t="s">
        <v>42</v>
      </c>
      <c r="J14" s="122"/>
    </row>
    <row r="15" spans="1:26" ht="15" customHeight="1" x14ac:dyDescent="0.25">
      <c r="A15" s="131" t="s">
        <v>43</v>
      </c>
      <c r="B15" s="113"/>
      <c r="C15" s="132" t="s">
        <v>44</v>
      </c>
      <c r="D15" s="113"/>
      <c r="E15" s="7"/>
      <c r="F15" s="43" t="s">
        <v>72</v>
      </c>
      <c r="G15" s="138" t="str">
        <f>FormSampel!B14</f>
        <v>HC 20925173 - 1</v>
      </c>
      <c r="H15" s="138"/>
      <c r="I15" s="93">
        <f>FormSampel!C14</f>
        <v>46356</v>
      </c>
      <c r="J15" s="94"/>
    </row>
    <row r="16" spans="1:26" ht="15" customHeight="1" x14ac:dyDescent="0.25">
      <c r="A16" s="131" t="s">
        <v>45</v>
      </c>
      <c r="B16" s="113"/>
      <c r="C16" s="137" t="s">
        <v>46</v>
      </c>
      <c r="D16" s="113"/>
      <c r="E16" s="113"/>
      <c r="F16" s="44" t="s">
        <v>73</v>
      </c>
      <c r="G16" s="101" t="str">
        <f>FormSampel!B15</f>
        <v>HC 28845526 - 1</v>
      </c>
      <c r="H16" s="101"/>
      <c r="I16" s="93">
        <f>FormSampel!C15</f>
        <v>46173</v>
      </c>
      <c r="J16" s="94"/>
    </row>
    <row r="17" spans="1:26" ht="15" customHeight="1" x14ac:dyDescent="0.25">
      <c r="A17" s="40"/>
      <c r="B17" s="42"/>
      <c r="C17" s="41"/>
      <c r="D17" s="41"/>
      <c r="E17" s="41"/>
      <c r="F17" s="44" t="s">
        <v>74</v>
      </c>
      <c r="G17" s="101" t="str">
        <f>FormSampel!B16</f>
        <v>HC 28959376 - 1</v>
      </c>
      <c r="H17" s="101"/>
      <c r="I17" s="93">
        <f>FormSampel!C16</f>
        <v>46203</v>
      </c>
      <c r="J17" s="94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5" t="s">
        <v>75</v>
      </c>
      <c r="G18" s="100" t="str">
        <f>FormSampel!B17</f>
        <v>HC 33253877 - 1</v>
      </c>
      <c r="H18" s="100"/>
      <c r="I18" s="95">
        <f>FormSampel!C17</f>
        <v>46691</v>
      </c>
      <c r="J18" s="96"/>
    </row>
    <row r="19" spans="1:26" x14ac:dyDescent="0.25">
      <c r="A19" s="97" t="s">
        <v>47</v>
      </c>
      <c r="B19" s="98"/>
      <c r="C19" s="98"/>
      <c r="D19" s="98"/>
      <c r="E19" s="98"/>
      <c r="F19" s="98"/>
      <c r="G19" s="98"/>
      <c r="H19" s="98"/>
      <c r="I19" s="98"/>
      <c r="J19" s="99"/>
    </row>
    <row r="20" spans="1:26" ht="26.25" customHeight="1" x14ac:dyDescent="0.25">
      <c r="A20" s="102" t="s">
        <v>48</v>
      </c>
      <c r="B20" s="103"/>
      <c r="C20" s="29">
        <f>FormSampel!G8</f>
        <v>0</v>
      </c>
      <c r="D20" s="30" t="s">
        <v>49</v>
      </c>
      <c r="E20" s="31">
        <v>1000</v>
      </c>
      <c r="F20" s="104" t="s">
        <v>50</v>
      </c>
      <c r="G20" s="103"/>
      <c r="H20" s="105" t="str">
        <f>IF(AND(C21&lt;0.15),"&lt;0.15",C21)</f>
        <v>&lt;0.15</v>
      </c>
      <c r="I20" s="106"/>
      <c r="J20" s="32" t="s">
        <v>51</v>
      </c>
    </row>
    <row r="21" spans="1:26" ht="15.75" customHeight="1" x14ac:dyDescent="0.25">
      <c r="A21" s="33" t="s">
        <v>52</v>
      </c>
      <c r="B21" s="34"/>
      <c r="C21" s="107">
        <f>C20/1000</f>
        <v>0</v>
      </c>
      <c r="D21" s="108"/>
      <c r="E21" s="35"/>
      <c r="F21" s="34"/>
      <c r="G21" s="34"/>
      <c r="H21" s="34"/>
      <c r="I21" s="34"/>
      <c r="J21" s="32"/>
    </row>
    <row r="22" spans="1:26" ht="15.75" customHeight="1" x14ac:dyDescent="0.25">
      <c r="A22" s="109" t="s">
        <v>55</v>
      </c>
      <c r="B22" s="110"/>
      <c r="C22" s="110"/>
      <c r="D22" s="110"/>
      <c r="E22" s="110"/>
      <c r="F22" s="110"/>
      <c r="G22" s="110"/>
      <c r="H22" s="110"/>
      <c r="I22" s="110"/>
      <c r="J22" s="11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02" t="s">
        <v>48</v>
      </c>
      <c r="B23" s="103"/>
      <c r="C23" s="29">
        <f>FormSampel!H8</f>
        <v>0</v>
      </c>
      <c r="D23" s="30" t="s">
        <v>49</v>
      </c>
      <c r="E23" s="36">
        <v>1000</v>
      </c>
      <c r="F23" s="104" t="s">
        <v>50</v>
      </c>
      <c r="G23" s="103"/>
      <c r="H23" s="105" t="str">
        <f>IF(C24&lt;0.15,"&lt;0.15",C24)</f>
        <v>&lt;0.15</v>
      </c>
      <c r="I23" s="106"/>
      <c r="J23" s="32" t="s">
        <v>51</v>
      </c>
    </row>
    <row r="24" spans="1:26" ht="15.75" customHeight="1" x14ac:dyDescent="0.25">
      <c r="A24" s="33" t="s">
        <v>52</v>
      </c>
      <c r="B24" s="34"/>
      <c r="C24" s="107">
        <f>C23/1000</f>
        <v>0</v>
      </c>
      <c r="D24" s="108"/>
      <c r="E24" s="35"/>
      <c r="F24" s="34"/>
      <c r="G24" s="34"/>
      <c r="H24" s="34"/>
      <c r="I24" s="34"/>
      <c r="J24" s="32"/>
    </row>
    <row r="25" spans="1:26" ht="15.75" customHeight="1" x14ac:dyDescent="0.25">
      <c r="A25" s="109" t="s">
        <v>53</v>
      </c>
      <c r="B25" s="110"/>
      <c r="C25" s="110"/>
      <c r="D25" s="110"/>
      <c r="E25" s="110"/>
      <c r="F25" s="110"/>
      <c r="G25" s="110"/>
      <c r="H25" s="110"/>
      <c r="I25" s="110"/>
      <c r="J25" s="11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12" t="s">
        <v>48</v>
      </c>
      <c r="B26" s="113"/>
      <c r="C26" s="29">
        <f>FormSampel!I8</f>
        <v>0</v>
      </c>
      <c r="D26" s="30" t="s">
        <v>49</v>
      </c>
      <c r="E26" s="36">
        <v>1000</v>
      </c>
      <c r="F26" s="114" t="s">
        <v>50</v>
      </c>
      <c r="G26" s="103"/>
      <c r="H26" s="105" t="str">
        <f>IF(AND(C27&lt;0.15),"&lt;0.15",C27)</f>
        <v>&lt;0.15</v>
      </c>
      <c r="I26" s="106"/>
      <c r="J26" s="37" t="s">
        <v>51</v>
      </c>
    </row>
    <row r="27" spans="1:26" ht="15.75" customHeight="1" x14ac:dyDescent="0.25">
      <c r="A27" s="33" t="s">
        <v>52</v>
      </c>
      <c r="B27" s="34"/>
      <c r="C27" s="115">
        <f>C26/1000</f>
        <v>0</v>
      </c>
      <c r="D27" s="116"/>
      <c r="E27" s="35"/>
      <c r="F27" s="34"/>
      <c r="G27" s="34"/>
      <c r="H27" s="34"/>
      <c r="I27" s="34"/>
      <c r="J27" s="32"/>
    </row>
    <row r="28" spans="1:26" ht="15.75" customHeight="1" x14ac:dyDescent="0.25">
      <c r="A28" s="109" t="s">
        <v>54</v>
      </c>
      <c r="B28" s="110"/>
      <c r="C28" s="110"/>
      <c r="D28" s="110"/>
      <c r="E28" s="110"/>
      <c r="F28" s="110"/>
      <c r="G28" s="110"/>
      <c r="H28" s="110"/>
      <c r="I28" s="110"/>
      <c r="J28" s="11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12" t="s">
        <v>48</v>
      </c>
      <c r="B29" s="113"/>
      <c r="C29" s="29">
        <f>FormSampel!J8</f>
        <v>0</v>
      </c>
      <c r="D29" s="30" t="s">
        <v>49</v>
      </c>
      <c r="E29" s="36">
        <v>1000</v>
      </c>
      <c r="F29" s="117" t="s">
        <v>50</v>
      </c>
      <c r="G29" s="113"/>
      <c r="H29" s="105" t="str">
        <f>IF(AND(C30&lt;0.15),"&lt;0.15",C30)</f>
        <v>&lt;0.15</v>
      </c>
      <c r="I29" s="106"/>
      <c r="J29" s="32" t="s">
        <v>51</v>
      </c>
    </row>
    <row r="30" spans="1:26" ht="15.75" customHeight="1" x14ac:dyDescent="0.25">
      <c r="A30" s="33" t="s">
        <v>52</v>
      </c>
      <c r="B30" s="34"/>
      <c r="C30" s="107">
        <f>C29/1000</f>
        <v>0</v>
      </c>
      <c r="D30" s="108"/>
      <c r="E30" s="35"/>
      <c r="F30" s="34"/>
      <c r="G30" s="34"/>
      <c r="H30" s="34"/>
      <c r="I30" s="34"/>
      <c r="J30" s="32"/>
    </row>
    <row r="31" spans="1:26" ht="15.75" customHeight="1" x14ac:dyDescent="0.25">
      <c r="A31" s="150" t="s">
        <v>56</v>
      </c>
      <c r="B31" s="119"/>
      <c r="C31" s="17"/>
      <c r="D31" s="17"/>
      <c r="E31" s="17"/>
      <c r="F31" s="18" t="s">
        <v>57</v>
      </c>
      <c r="G31" s="17"/>
      <c r="H31" s="17"/>
      <c r="I31" s="17"/>
      <c r="J31" s="19"/>
    </row>
    <row r="32" spans="1:26" ht="15.75" customHeight="1" x14ac:dyDescent="0.25">
      <c r="A32" s="20"/>
      <c r="B32" s="151" t="s">
        <v>58</v>
      </c>
      <c r="C32" s="113"/>
      <c r="D32" s="113"/>
      <c r="E32" s="122"/>
      <c r="F32" s="1"/>
      <c r="G32" s="1"/>
      <c r="H32" s="1"/>
      <c r="I32" s="1"/>
      <c r="J32" s="16"/>
    </row>
    <row r="33" spans="1:26" ht="15.75" customHeight="1" x14ac:dyDescent="0.25">
      <c r="A33" s="20"/>
      <c r="B33" s="113"/>
      <c r="C33" s="113"/>
      <c r="D33" s="113"/>
      <c r="E33" s="122"/>
      <c r="F33" s="21"/>
      <c r="G33" s="1"/>
      <c r="H33" s="1"/>
      <c r="I33" s="1"/>
      <c r="J33" s="16"/>
    </row>
    <row r="34" spans="1:26" ht="15.75" customHeight="1" x14ac:dyDescent="0.25">
      <c r="A34" s="22"/>
      <c r="B34" s="151" t="s">
        <v>59</v>
      </c>
      <c r="C34" s="113"/>
      <c r="D34" s="113"/>
      <c r="E34" s="122"/>
      <c r="F34" s="1"/>
      <c r="G34" s="1"/>
      <c r="H34" s="1"/>
      <c r="I34" s="1"/>
      <c r="J34" s="16"/>
    </row>
    <row r="35" spans="1:26" ht="15.75" customHeight="1" x14ac:dyDescent="0.25">
      <c r="A35" s="22"/>
      <c r="B35" s="113"/>
      <c r="C35" s="113"/>
      <c r="D35" s="113"/>
      <c r="E35" s="122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52" t="s">
        <v>60</v>
      </c>
      <c r="B38" s="119"/>
      <c r="C38" s="119"/>
      <c r="D38" s="119"/>
      <c r="E38" s="120"/>
      <c r="F38" s="139" t="str">
        <f>FormSampel!B19</f>
        <v>AMIR / MAISARAH</v>
      </c>
      <c r="G38" s="140"/>
      <c r="H38" s="143">
        <f>FormSampel!B20</f>
        <v>45700</v>
      </c>
      <c r="I38" s="143"/>
      <c r="J38" s="144"/>
    </row>
    <row r="39" spans="1:26" ht="11.25" customHeight="1" x14ac:dyDescent="0.25">
      <c r="A39" s="148"/>
      <c r="B39" s="149"/>
      <c r="C39" s="149"/>
      <c r="D39" s="149"/>
      <c r="E39" s="153"/>
      <c r="F39" s="141"/>
      <c r="G39" s="142"/>
      <c r="H39" s="145"/>
      <c r="I39" s="145"/>
      <c r="J39" s="146"/>
    </row>
    <row r="40" spans="1:26" ht="15.75" customHeight="1" x14ac:dyDescent="0.25">
      <c r="A40" s="147" t="s">
        <v>61</v>
      </c>
      <c r="B40" s="119"/>
      <c r="C40" s="119"/>
      <c r="D40" s="119"/>
      <c r="E40" s="119"/>
      <c r="F40" s="27"/>
      <c r="G40" s="23"/>
      <c r="H40" s="23"/>
      <c r="I40" s="23"/>
      <c r="J40" s="16"/>
    </row>
    <row r="41" spans="1:26" ht="11.25" customHeight="1" x14ac:dyDescent="0.25">
      <c r="A41" s="148"/>
      <c r="B41" s="149"/>
      <c r="C41" s="149"/>
      <c r="D41" s="149"/>
      <c r="E41" s="149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B34:E35"/>
    <mergeCell ref="A38:E39"/>
    <mergeCell ref="F38:G39"/>
    <mergeCell ref="H38:J39"/>
    <mergeCell ref="A40:E41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A16:B16"/>
    <mergeCell ref="C16:E16"/>
    <mergeCell ref="G16:H16"/>
    <mergeCell ref="I16:J16"/>
    <mergeCell ref="G17:H17"/>
    <mergeCell ref="I17:J17"/>
    <mergeCell ref="F14:H14"/>
    <mergeCell ref="I14:J14"/>
    <mergeCell ref="A15:B15"/>
    <mergeCell ref="C15:D15"/>
    <mergeCell ref="G15:H15"/>
    <mergeCell ref="I15:J15"/>
    <mergeCell ref="A12:B12"/>
    <mergeCell ref="C12:D12"/>
    <mergeCell ref="A13:B13"/>
    <mergeCell ref="C13:D13"/>
    <mergeCell ref="A14:B14"/>
    <mergeCell ref="C14:D14"/>
    <mergeCell ref="A9:B9"/>
    <mergeCell ref="C9:D9"/>
    <mergeCell ref="A10:B10"/>
    <mergeCell ref="C10:D10"/>
    <mergeCell ref="A11:B11"/>
    <mergeCell ref="C11:D11"/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</mergeCells>
  <pageMargins left="0.7" right="0.7" top="0.75" bottom="0.75" header="0" footer="0"/>
  <pageSetup paperSize="9" orientation="portrait" r:id="rId1"/>
  <headerFooter>
    <oddHeader>&amp;LPKKK/UAT/003B&amp;R16-Dis-2024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5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6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7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8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9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0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577338-862F-457F-AAF6-7AC012A9A73F}">
  <sheetPr codeName="Sheet6"/>
  <dimension ref="A1:Z579"/>
  <sheetViews>
    <sheetView view="pageLayout" topLeftCell="A31" zoomScale="112" zoomScaleNormal="100" zoomScalePageLayoutView="112" workbookViewId="0">
      <selection activeCell="C29" sqref="C29"/>
    </sheetView>
  </sheetViews>
  <sheetFormatPr defaultColWidth="14.42578125" defaultRowHeight="15" customHeight="1" x14ac:dyDescent="0.25"/>
  <cols>
    <col min="1" max="1" width="12.85546875" style="39" customWidth="1"/>
    <col min="2" max="2" width="8" style="39" customWidth="1"/>
    <col min="3" max="3" width="11.28515625" style="39" customWidth="1"/>
    <col min="4" max="4" width="6" style="39" customWidth="1"/>
    <col min="5" max="5" width="6.85546875" style="39" customWidth="1"/>
    <col min="6" max="6" width="12.140625" style="39" customWidth="1"/>
    <col min="7" max="7" width="10" style="39" customWidth="1"/>
    <col min="8" max="8" width="8.5703125" style="39" customWidth="1"/>
    <col min="9" max="9" width="4.5703125" style="39" customWidth="1"/>
    <col min="10" max="10" width="6.7109375" style="39" customWidth="1"/>
    <col min="11" max="11" width="8" style="39" customWidth="1"/>
    <col min="12" max="16384" width="14.42578125" style="39"/>
  </cols>
  <sheetData>
    <row r="1" spans="1:26" x14ac:dyDescent="0.25">
      <c r="A1" s="123" t="s">
        <v>0</v>
      </c>
      <c r="B1" s="124"/>
      <c r="C1" s="124"/>
      <c r="D1" s="124"/>
      <c r="E1" s="124"/>
      <c r="F1" s="124"/>
      <c r="G1" s="124"/>
      <c r="H1" s="124"/>
      <c r="I1" s="124"/>
      <c r="J1" s="125"/>
    </row>
    <row r="2" spans="1:26" x14ac:dyDescent="0.25">
      <c r="A2" s="123" t="s">
        <v>1</v>
      </c>
      <c r="B2" s="124"/>
      <c r="C2" s="124"/>
      <c r="D2" s="124"/>
      <c r="E2" s="124"/>
      <c r="F2" s="124"/>
      <c r="G2" s="124"/>
      <c r="H2" s="124"/>
      <c r="I2" s="124"/>
      <c r="J2" s="125"/>
    </row>
    <row r="3" spans="1:26" x14ac:dyDescent="0.25">
      <c r="A3" s="126" t="s">
        <v>2</v>
      </c>
      <c r="B3" s="124"/>
      <c r="C3" s="125"/>
      <c r="D3" s="127">
        <f>FormSampel!F9</f>
        <v>0</v>
      </c>
      <c r="E3" s="124"/>
      <c r="F3" s="124"/>
      <c r="G3" s="124"/>
      <c r="H3" s="124"/>
      <c r="I3" s="124"/>
      <c r="J3" s="125"/>
    </row>
    <row r="4" spans="1:26" x14ac:dyDescent="0.25">
      <c r="A4" s="126" t="s">
        <v>3</v>
      </c>
      <c r="B4" s="124"/>
      <c r="C4" s="125"/>
      <c r="D4" s="127" t="str">
        <f>FormSampel!B2</f>
        <v>120225(2)</v>
      </c>
      <c r="E4" s="124"/>
      <c r="F4" s="124"/>
      <c r="G4" s="124"/>
      <c r="H4" s="124"/>
      <c r="I4" s="124"/>
      <c r="J4" s="125"/>
    </row>
    <row r="5" spans="1:26" ht="15" customHeight="1" x14ac:dyDescent="0.25">
      <c r="A5" s="128" t="s">
        <v>87</v>
      </c>
      <c r="B5" s="124"/>
      <c r="C5" s="124"/>
      <c r="D5" s="124"/>
      <c r="E5" s="124"/>
      <c r="F5" s="124"/>
      <c r="G5" s="124"/>
      <c r="H5" s="124"/>
      <c r="I5" s="124"/>
      <c r="J5" s="125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28" t="s">
        <v>4</v>
      </c>
      <c r="B6" s="124"/>
      <c r="C6" s="124"/>
      <c r="D6" s="124"/>
      <c r="E6" s="124"/>
      <c r="F6" s="124"/>
      <c r="G6" s="124"/>
      <c r="H6" s="124"/>
      <c r="I6" s="124"/>
      <c r="J6" s="125"/>
    </row>
    <row r="7" spans="1:26" ht="30" customHeight="1" x14ac:dyDescent="0.25">
      <c r="A7" s="129" t="s">
        <v>5</v>
      </c>
      <c r="B7" s="119"/>
      <c r="C7" s="130" t="s">
        <v>6</v>
      </c>
      <c r="D7" s="119"/>
      <c r="E7" s="119"/>
      <c r="F7" s="42" t="s">
        <v>7</v>
      </c>
      <c r="G7" s="118" t="s">
        <v>8</v>
      </c>
      <c r="H7" s="119"/>
      <c r="I7" s="119"/>
      <c r="J7" s="120"/>
    </row>
    <row r="8" spans="1:26" ht="15" customHeight="1" x14ac:dyDescent="0.25">
      <c r="A8" s="131" t="s">
        <v>9</v>
      </c>
      <c r="B8" s="113"/>
      <c r="C8" s="132" t="s">
        <v>10</v>
      </c>
      <c r="D8" s="113"/>
      <c r="E8" s="4"/>
      <c r="F8" s="38" t="s">
        <v>11</v>
      </c>
      <c r="G8" s="6" t="s">
        <v>12</v>
      </c>
      <c r="H8" s="6" t="s">
        <v>13</v>
      </c>
      <c r="I8" s="121"/>
      <c r="J8" s="122"/>
    </row>
    <row r="9" spans="1:26" ht="30" customHeight="1" x14ac:dyDescent="0.25">
      <c r="A9" s="133" t="s">
        <v>14</v>
      </c>
      <c r="B9" s="113"/>
      <c r="C9" s="132" t="s">
        <v>15</v>
      </c>
      <c r="D9" s="113"/>
      <c r="E9" s="7"/>
      <c r="F9" s="42" t="s">
        <v>16</v>
      </c>
      <c r="G9" s="8" t="s">
        <v>17</v>
      </c>
      <c r="H9" s="8" t="s">
        <v>18</v>
      </c>
      <c r="I9" s="9"/>
      <c r="J9" s="10"/>
    </row>
    <row r="10" spans="1:26" ht="15" customHeight="1" x14ac:dyDescent="0.25">
      <c r="A10" s="131" t="s">
        <v>19</v>
      </c>
      <c r="B10" s="113"/>
      <c r="C10" s="132" t="s">
        <v>20</v>
      </c>
      <c r="D10" s="113"/>
      <c r="E10" s="7"/>
      <c r="F10" s="42" t="s">
        <v>21</v>
      </c>
      <c r="G10" s="8" t="s">
        <v>22</v>
      </c>
      <c r="H10" s="8" t="s">
        <v>23</v>
      </c>
      <c r="I10" s="11"/>
      <c r="J10" s="10"/>
    </row>
    <row r="11" spans="1:26" ht="30" customHeight="1" x14ac:dyDescent="0.25">
      <c r="A11" s="133" t="s">
        <v>24</v>
      </c>
      <c r="B11" s="113"/>
      <c r="C11" s="136" t="s">
        <v>25</v>
      </c>
      <c r="D11" s="113"/>
      <c r="E11" s="7"/>
      <c r="F11" s="42" t="s">
        <v>26</v>
      </c>
      <c r="G11" s="8" t="s">
        <v>27</v>
      </c>
      <c r="H11" s="8" t="s">
        <v>28</v>
      </c>
      <c r="I11" s="11"/>
      <c r="J11" s="10"/>
    </row>
    <row r="12" spans="1:26" ht="15" customHeight="1" x14ac:dyDescent="0.25">
      <c r="A12" s="131" t="s">
        <v>29</v>
      </c>
      <c r="B12" s="113"/>
      <c r="C12" s="132" t="s">
        <v>30</v>
      </c>
      <c r="D12" s="113"/>
      <c r="E12" s="7"/>
      <c r="F12" s="42" t="s">
        <v>31</v>
      </c>
      <c r="G12" s="8" t="s">
        <v>32</v>
      </c>
      <c r="H12" s="8" t="s">
        <v>33</v>
      </c>
      <c r="I12" s="9"/>
      <c r="J12" s="10"/>
    </row>
    <row r="13" spans="1:26" ht="30" x14ac:dyDescent="0.25">
      <c r="A13" s="131" t="s">
        <v>34</v>
      </c>
      <c r="B13" s="113"/>
      <c r="C13" s="132" t="s">
        <v>35</v>
      </c>
      <c r="D13" s="113"/>
      <c r="E13" s="7"/>
      <c r="F13" s="42" t="s">
        <v>36</v>
      </c>
      <c r="G13" s="8" t="s">
        <v>37</v>
      </c>
      <c r="H13" s="8" t="s">
        <v>38</v>
      </c>
      <c r="I13" s="11"/>
      <c r="J13" s="12"/>
    </row>
    <row r="14" spans="1:26" ht="15" customHeight="1" x14ac:dyDescent="0.25">
      <c r="A14" s="131" t="s">
        <v>39</v>
      </c>
      <c r="B14" s="113"/>
      <c r="C14" s="132" t="s">
        <v>40</v>
      </c>
      <c r="D14" s="113"/>
      <c r="E14" s="7"/>
      <c r="F14" s="134" t="s">
        <v>41</v>
      </c>
      <c r="G14" s="113"/>
      <c r="H14" s="113"/>
      <c r="I14" s="135" t="s">
        <v>42</v>
      </c>
      <c r="J14" s="122"/>
    </row>
    <row r="15" spans="1:26" ht="15" customHeight="1" x14ac:dyDescent="0.25">
      <c r="A15" s="131" t="s">
        <v>43</v>
      </c>
      <c r="B15" s="113"/>
      <c r="C15" s="132" t="s">
        <v>44</v>
      </c>
      <c r="D15" s="113"/>
      <c r="E15" s="7"/>
      <c r="F15" s="43" t="s">
        <v>72</v>
      </c>
      <c r="G15" s="138" t="str">
        <f>FormSampel!B14</f>
        <v>HC 20925173 - 1</v>
      </c>
      <c r="H15" s="138"/>
      <c r="I15" s="93">
        <f>FormSampel!C14</f>
        <v>46356</v>
      </c>
      <c r="J15" s="94"/>
    </row>
    <row r="16" spans="1:26" ht="15" customHeight="1" x14ac:dyDescent="0.25">
      <c r="A16" s="131" t="s">
        <v>45</v>
      </c>
      <c r="B16" s="113"/>
      <c r="C16" s="137" t="s">
        <v>46</v>
      </c>
      <c r="D16" s="113"/>
      <c r="E16" s="113"/>
      <c r="F16" s="44" t="s">
        <v>73</v>
      </c>
      <c r="G16" s="101" t="str">
        <f>FormSampel!B15</f>
        <v>HC 28845526 - 1</v>
      </c>
      <c r="H16" s="101"/>
      <c r="I16" s="93">
        <f>FormSampel!C15</f>
        <v>46173</v>
      </c>
      <c r="J16" s="94"/>
    </row>
    <row r="17" spans="1:26" ht="15" customHeight="1" x14ac:dyDescent="0.25">
      <c r="A17" s="40"/>
      <c r="B17" s="42"/>
      <c r="C17" s="41"/>
      <c r="D17" s="41"/>
      <c r="E17" s="41"/>
      <c r="F17" s="44" t="s">
        <v>74</v>
      </c>
      <c r="G17" s="101" t="str">
        <f>FormSampel!B16</f>
        <v>HC 28959376 - 1</v>
      </c>
      <c r="H17" s="101"/>
      <c r="I17" s="93">
        <f>FormSampel!C16</f>
        <v>46203</v>
      </c>
      <c r="J17" s="94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5" t="s">
        <v>75</v>
      </c>
      <c r="G18" s="100" t="str">
        <f>FormSampel!B17</f>
        <v>HC 33253877 - 1</v>
      </c>
      <c r="H18" s="100"/>
      <c r="I18" s="95">
        <f>FormSampel!C17</f>
        <v>46691</v>
      </c>
      <c r="J18" s="96"/>
    </row>
    <row r="19" spans="1:26" x14ac:dyDescent="0.25">
      <c r="A19" s="97" t="s">
        <v>47</v>
      </c>
      <c r="B19" s="98"/>
      <c r="C19" s="98"/>
      <c r="D19" s="98"/>
      <c r="E19" s="98"/>
      <c r="F19" s="98"/>
      <c r="G19" s="98"/>
      <c r="H19" s="98"/>
      <c r="I19" s="98"/>
      <c r="J19" s="99"/>
    </row>
    <row r="20" spans="1:26" ht="26.25" customHeight="1" x14ac:dyDescent="0.25">
      <c r="A20" s="102" t="s">
        <v>48</v>
      </c>
      <c r="B20" s="103"/>
      <c r="C20" s="29">
        <f>FormSampel!G9</f>
        <v>0</v>
      </c>
      <c r="D20" s="30" t="s">
        <v>49</v>
      </c>
      <c r="E20" s="31">
        <v>1000</v>
      </c>
      <c r="F20" s="104" t="s">
        <v>50</v>
      </c>
      <c r="G20" s="103"/>
      <c r="H20" s="105" t="str">
        <f>IF(AND(C21&lt;0.15),"&lt;0.15",C21)</f>
        <v>&lt;0.15</v>
      </c>
      <c r="I20" s="106"/>
      <c r="J20" s="32" t="s">
        <v>51</v>
      </c>
    </row>
    <row r="21" spans="1:26" ht="15.75" customHeight="1" x14ac:dyDescent="0.25">
      <c r="A21" s="33" t="s">
        <v>52</v>
      </c>
      <c r="B21" s="34"/>
      <c r="C21" s="107">
        <f>C20/1000</f>
        <v>0</v>
      </c>
      <c r="D21" s="108"/>
      <c r="E21" s="35"/>
      <c r="F21" s="34"/>
      <c r="G21" s="34"/>
      <c r="H21" s="34"/>
      <c r="I21" s="34"/>
      <c r="J21" s="32"/>
    </row>
    <row r="22" spans="1:26" ht="15.75" customHeight="1" x14ac:dyDescent="0.25">
      <c r="A22" s="109" t="s">
        <v>55</v>
      </c>
      <c r="B22" s="110"/>
      <c r="C22" s="110"/>
      <c r="D22" s="110"/>
      <c r="E22" s="110"/>
      <c r="F22" s="110"/>
      <c r="G22" s="110"/>
      <c r="H22" s="110"/>
      <c r="I22" s="110"/>
      <c r="J22" s="11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02" t="s">
        <v>48</v>
      </c>
      <c r="B23" s="103"/>
      <c r="C23" s="29">
        <f>FormSampel!H9</f>
        <v>0</v>
      </c>
      <c r="D23" s="30" t="s">
        <v>49</v>
      </c>
      <c r="E23" s="36">
        <v>1000</v>
      </c>
      <c r="F23" s="104" t="s">
        <v>50</v>
      </c>
      <c r="G23" s="103"/>
      <c r="H23" s="105" t="str">
        <f>IF(C24&lt;0.15,"&lt;0.15",C24)</f>
        <v>&lt;0.15</v>
      </c>
      <c r="I23" s="106"/>
      <c r="J23" s="32" t="s">
        <v>51</v>
      </c>
    </row>
    <row r="24" spans="1:26" ht="15.75" customHeight="1" x14ac:dyDescent="0.25">
      <c r="A24" s="33" t="s">
        <v>52</v>
      </c>
      <c r="B24" s="34"/>
      <c r="C24" s="107">
        <f>C23/1000</f>
        <v>0</v>
      </c>
      <c r="D24" s="108"/>
      <c r="E24" s="35"/>
      <c r="F24" s="34"/>
      <c r="G24" s="34"/>
      <c r="H24" s="34"/>
      <c r="I24" s="34"/>
      <c r="J24" s="32"/>
    </row>
    <row r="25" spans="1:26" ht="15.75" customHeight="1" x14ac:dyDescent="0.25">
      <c r="A25" s="109" t="s">
        <v>53</v>
      </c>
      <c r="B25" s="110"/>
      <c r="C25" s="110"/>
      <c r="D25" s="110"/>
      <c r="E25" s="110"/>
      <c r="F25" s="110"/>
      <c r="G25" s="110"/>
      <c r="H25" s="110"/>
      <c r="I25" s="110"/>
      <c r="J25" s="11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12" t="s">
        <v>48</v>
      </c>
      <c r="B26" s="113"/>
      <c r="C26" s="29">
        <f>FormSampel!I9</f>
        <v>0</v>
      </c>
      <c r="D26" s="30" t="s">
        <v>49</v>
      </c>
      <c r="E26" s="36">
        <v>1000</v>
      </c>
      <c r="F26" s="114" t="s">
        <v>50</v>
      </c>
      <c r="G26" s="103"/>
      <c r="H26" s="105" t="str">
        <f>IF(AND(C27&lt;0.15),"&lt;0.15",C27)</f>
        <v>&lt;0.15</v>
      </c>
      <c r="I26" s="106"/>
      <c r="J26" s="37" t="s">
        <v>51</v>
      </c>
    </row>
    <row r="27" spans="1:26" ht="15.75" customHeight="1" x14ac:dyDescent="0.25">
      <c r="A27" s="33" t="s">
        <v>52</v>
      </c>
      <c r="B27" s="34"/>
      <c r="C27" s="115">
        <f>C26/1000</f>
        <v>0</v>
      </c>
      <c r="D27" s="116"/>
      <c r="E27" s="35"/>
      <c r="F27" s="34"/>
      <c r="G27" s="34"/>
      <c r="H27" s="34"/>
      <c r="I27" s="34"/>
      <c r="J27" s="32"/>
    </row>
    <row r="28" spans="1:26" ht="15.75" customHeight="1" x14ac:dyDescent="0.25">
      <c r="A28" s="109" t="s">
        <v>54</v>
      </c>
      <c r="B28" s="110"/>
      <c r="C28" s="110"/>
      <c r="D28" s="110"/>
      <c r="E28" s="110"/>
      <c r="F28" s="110"/>
      <c r="G28" s="110"/>
      <c r="H28" s="110"/>
      <c r="I28" s="110"/>
      <c r="J28" s="11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12" t="s">
        <v>48</v>
      </c>
      <c r="B29" s="113"/>
      <c r="C29" s="29">
        <f>FormSampel!J9</f>
        <v>0</v>
      </c>
      <c r="D29" s="30" t="s">
        <v>49</v>
      </c>
      <c r="E29" s="36">
        <v>1000</v>
      </c>
      <c r="F29" s="117" t="s">
        <v>50</v>
      </c>
      <c r="G29" s="113"/>
      <c r="H29" s="105" t="str">
        <f>IF(AND(C30&lt;0.15),"&lt;0.15",C30)</f>
        <v>&lt;0.15</v>
      </c>
      <c r="I29" s="106"/>
      <c r="J29" s="32" t="s">
        <v>51</v>
      </c>
    </row>
    <row r="30" spans="1:26" ht="15.75" customHeight="1" x14ac:dyDescent="0.25">
      <c r="A30" s="33" t="s">
        <v>52</v>
      </c>
      <c r="B30" s="34"/>
      <c r="C30" s="107">
        <f>C29/1000</f>
        <v>0</v>
      </c>
      <c r="D30" s="108"/>
      <c r="E30" s="35"/>
      <c r="F30" s="34"/>
      <c r="G30" s="34"/>
      <c r="H30" s="34"/>
      <c r="I30" s="34"/>
      <c r="J30" s="32"/>
    </row>
    <row r="31" spans="1:26" ht="15.75" customHeight="1" x14ac:dyDescent="0.25">
      <c r="A31" s="150" t="s">
        <v>56</v>
      </c>
      <c r="B31" s="119"/>
      <c r="C31" s="17"/>
      <c r="D31" s="17"/>
      <c r="E31" s="17"/>
      <c r="F31" s="18" t="s">
        <v>57</v>
      </c>
      <c r="G31" s="17"/>
      <c r="H31" s="17"/>
      <c r="I31" s="17"/>
      <c r="J31" s="19"/>
    </row>
    <row r="32" spans="1:26" ht="15.75" customHeight="1" x14ac:dyDescent="0.25">
      <c r="A32" s="20"/>
      <c r="B32" s="151" t="s">
        <v>58</v>
      </c>
      <c r="C32" s="113"/>
      <c r="D32" s="113"/>
      <c r="E32" s="122"/>
      <c r="F32" s="1"/>
      <c r="G32" s="1"/>
      <c r="H32" s="1"/>
      <c r="I32" s="1"/>
      <c r="J32" s="16"/>
    </row>
    <row r="33" spans="1:26" ht="15.75" customHeight="1" x14ac:dyDescent="0.25">
      <c r="A33" s="20"/>
      <c r="B33" s="113"/>
      <c r="C33" s="113"/>
      <c r="D33" s="113"/>
      <c r="E33" s="122"/>
      <c r="F33" s="21"/>
      <c r="G33" s="1"/>
      <c r="H33" s="1"/>
      <c r="I33" s="1"/>
      <c r="J33" s="16"/>
    </row>
    <row r="34" spans="1:26" ht="15.75" customHeight="1" x14ac:dyDescent="0.25">
      <c r="A34" s="22"/>
      <c r="B34" s="151" t="s">
        <v>59</v>
      </c>
      <c r="C34" s="113"/>
      <c r="D34" s="113"/>
      <c r="E34" s="122"/>
      <c r="F34" s="1"/>
      <c r="G34" s="1"/>
      <c r="H34" s="1"/>
      <c r="I34" s="1"/>
      <c r="J34" s="16"/>
    </row>
    <row r="35" spans="1:26" ht="15.75" customHeight="1" x14ac:dyDescent="0.25">
      <c r="A35" s="22"/>
      <c r="B35" s="113"/>
      <c r="C35" s="113"/>
      <c r="D35" s="113"/>
      <c r="E35" s="122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52" t="s">
        <v>60</v>
      </c>
      <c r="B38" s="119"/>
      <c r="C38" s="119"/>
      <c r="D38" s="119"/>
      <c r="E38" s="120"/>
      <c r="F38" s="139" t="str">
        <f>FormSampel!B19</f>
        <v>AMIR / MAISARAH</v>
      </c>
      <c r="G38" s="140"/>
      <c r="H38" s="143">
        <f>FormSampel!B20</f>
        <v>45700</v>
      </c>
      <c r="I38" s="143"/>
      <c r="J38" s="144"/>
    </row>
    <row r="39" spans="1:26" ht="11.25" customHeight="1" x14ac:dyDescent="0.25">
      <c r="A39" s="148"/>
      <c r="B39" s="149"/>
      <c r="C39" s="149"/>
      <c r="D39" s="149"/>
      <c r="E39" s="153"/>
      <c r="F39" s="141"/>
      <c r="G39" s="142"/>
      <c r="H39" s="145"/>
      <c r="I39" s="145"/>
      <c r="J39" s="146"/>
    </row>
    <row r="40" spans="1:26" ht="15.75" customHeight="1" x14ac:dyDescent="0.25">
      <c r="A40" s="147" t="s">
        <v>61</v>
      </c>
      <c r="B40" s="119"/>
      <c r="C40" s="119"/>
      <c r="D40" s="119"/>
      <c r="E40" s="119"/>
      <c r="F40" s="27"/>
      <c r="G40" s="23"/>
      <c r="H40" s="23"/>
      <c r="I40" s="23"/>
      <c r="J40" s="16"/>
    </row>
    <row r="41" spans="1:26" ht="11.25" customHeight="1" x14ac:dyDescent="0.25">
      <c r="A41" s="148"/>
      <c r="B41" s="149"/>
      <c r="C41" s="149"/>
      <c r="D41" s="149"/>
      <c r="E41" s="149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B34:E35"/>
    <mergeCell ref="A38:E39"/>
    <mergeCell ref="F38:G39"/>
    <mergeCell ref="H38:J39"/>
    <mergeCell ref="A40:E41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A16:B16"/>
    <mergeCell ref="C16:E16"/>
    <mergeCell ref="G16:H16"/>
    <mergeCell ref="I16:J16"/>
    <mergeCell ref="G17:H17"/>
    <mergeCell ref="I17:J17"/>
    <mergeCell ref="F14:H14"/>
    <mergeCell ref="I14:J14"/>
    <mergeCell ref="A15:B15"/>
    <mergeCell ref="C15:D15"/>
    <mergeCell ref="G15:H15"/>
    <mergeCell ref="I15:J15"/>
    <mergeCell ref="A12:B12"/>
    <mergeCell ref="C12:D12"/>
    <mergeCell ref="A13:B13"/>
    <mergeCell ref="C13:D13"/>
    <mergeCell ref="A14:B14"/>
    <mergeCell ref="C14:D14"/>
    <mergeCell ref="A9:B9"/>
    <mergeCell ref="C9:D9"/>
    <mergeCell ref="A10:B10"/>
    <mergeCell ref="C10:D10"/>
    <mergeCell ref="A11:B11"/>
    <mergeCell ref="C11:D11"/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</mergeCells>
  <pageMargins left="0.7" right="0.7" top="0.75" bottom="0.75" header="0" footer="0"/>
  <pageSetup paperSize="9" orientation="portrait" r:id="rId1"/>
  <headerFooter>
    <oddHeader>&amp;LPKKK/UAT/003B&amp;R16-Dis-2024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49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0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1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2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3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4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E27F2B-E932-415A-B2D8-76800FD093EC}">
  <sheetPr codeName="Sheet7"/>
  <dimension ref="A1:Z579"/>
  <sheetViews>
    <sheetView view="pageLayout" zoomScale="112" zoomScaleNormal="100" zoomScalePageLayoutView="112" workbookViewId="0">
      <selection activeCell="A5" sqref="A5:J5"/>
    </sheetView>
  </sheetViews>
  <sheetFormatPr defaultColWidth="14.42578125" defaultRowHeight="15" customHeight="1" x14ac:dyDescent="0.25"/>
  <cols>
    <col min="1" max="1" width="12.85546875" style="39" customWidth="1"/>
    <col min="2" max="2" width="8" style="39" customWidth="1"/>
    <col min="3" max="3" width="11.28515625" style="39" customWidth="1"/>
    <col min="4" max="4" width="6" style="39" customWidth="1"/>
    <col min="5" max="5" width="6.85546875" style="39" customWidth="1"/>
    <col min="6" max="6" width="12.140625" style="39" customWidth="1"/>
    <col min="7" max="7" width="10" style="39" customWidth="1"/>
    <col min="8" max="8" width="8.5703125" style="39" customWidth="1"/>
    <col min="9" max="9" width="4.5703125" style="39" customWidth="1"/>
    <col min="10" max="10" width="6.7109375" style="39" customWidth="1"/>
    <col min="11" max="11" width="8" style="39" customWidth="1"/>
    <col min="12" max="16384" width="14.42578125" style="39"/>
  </cols>
  <sheetData>
    <row r="1" spans="1:26" x14ac:dyDescent="0.25">
      <c r="A1" s="123" t="s">
        <v>0</v>
      </c>
      <c r="B1" s="124"/>
      <c r="C1" s="124"/>
      <c r="D1" s="124"/>
      <c r="E1" s="124"/>
      <c r="F1" s="124"/>
      <c r="G1" s="124"/>
      <c r="H1" s="124"/>
      <c r="I1" s="124"/>
      <c r="J1" s="125"/>
    </row>
    <row r="2" spans="1:26" x14ac:dyDescent="0.25">
      <c r="A2" s="123" t="s">
        <v>1</v>
      </c>
      <c r="B2" s="124"/>
      <c r="C2" s="124"/>
      <c r="D2" s="124"/>
      <c r="E2" s="124"/>
      <c r="F2" s="124"/>
      <c r="G2" s="124"/>
      <c r="H2" s="124"/>
      <c r="I2" s="124"/>
      <c r="J2" s="125"/>
    </row>
    <row r="3" spans="1:26" x14ac:dyDescent="0.25">
      <c r="A3" s="126" t="s">
        <v>2</v>
      </c>
      <c r="B3" s="124"/>
      <c r="C3" s="125"/>
      <c r="D3" s="127">
        <f>FormSampel!F10</f>
        <v>0</v>
      </c>
      <c r="E3" s="124"/>
      <c r="F3" s="124"/>
      <c r="G3" s="124"/>
      <c r="H3" s="124"/>
      <c r="I3" s="124"/>
      <c r="J3" s="125"/>
    </row>
    <row r="4" spans="1:26" x14ac:dyDescent="0.25">
      <c r="A4" s="126" t="s">
        <v>3</v>
      </c>
      <c r="B4" s="124"/>
      <c r="C4" s="125"/>
      <c r="D4" s="127" t="str">
        <f>FormSampel!B2</f>
        <v>120225(2)</v>
      </c>
      <c r="E4" s="124"/>
      <c r="F4" s="124"/>
      <c r="G4" s="124"/>
      <c r="H4" s="124"/>
      <c r="I4" s="124"/>
      <c r="J4" s="125"/>
    </row>
    <row r="5" spans="1:26" ht="15" customHeight="1" x14ac:dyDescent="0.25">
      <c r="A5" s="128" t="s">
        <v>87</v>
      </c>
      <c r="B5" s="124"/>
      <c r="C5" s="124"/>
      <c r="D5" s="124"/>
      <c r="E5" s="124"/>
      <c r="F5" s="124"/>
      <c r="G5" s="124"/>
      <c r="H5" s="124"/>
      <c r="I5" s="124"/>
      <c r="J5" s="125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28" t="s">
        <v>4</v>
      </c>
      <c r="B6" s="124"/>
      <c r="C6" s="124"/>
      <c r="D6" s="124"/>
      <c r="E6" s="124"/>
      <c r="F6" s="124"/>
      <c r="G6" s="124"/>
      <c r="H6" s="124"/>
      <c r="I6" s="124"/>
      <c r="J6" s="125"/>
    </row>
    <row r="7" spans="1:26" ht="30" customHeight="1" x14ac:dyDescent="0.25">
      <c r="A7" s="129" t="s">
        <v>5</v>
      </c>
      <c r="B7" s="119"/>
      <c r="C7" s="130" t="s">
        <v>6</v>
      </c>
      <c r="D7" s="119"/>
      <c r="E7" s="119"/>
      <c r="F7" s="42" t="s">
        <v>7</v>
      </c>
      <c r="G7" s="118" t="s">
        <v>8</v>
      </c>
      <c r="H7" s="119"/>
      <c r="I7" s="119"/>
      <c r="J7" s="120"/>
    </row>
    <row r="8" spans="1:26" ht="15" customHeight="1" x14ac:dyDescent="0.25">
      <c r="A8" s="131" t="s">
        <v>9</v>
      </c>
      <c r="B8" s="113"/>
      <c r="C8" s="132" t="s">
        <v>10</v>
      </c>
      <c r="D8" s="113"/>
      <c r="E8" s="4"/>
      <c r="F8" s="38" t="s">
        <v>11</v>
      </c>
      <c r="G8" s="6" t="s">
        <v>12</v>
      </c>
      <c r="H8" s="6" t="s">
        <v>13</v>
      </c>
      <c r="I8" s="121"/>
      <c r="J8" s="122"/>
    </row>
    <row r="9" spans="1:26" ht="30" customHeight="1" x14ac:dyDescent="0.25">
      <c r="A9" s="133" t="s">
        <v>14</v>
      </c>
      <c r="B9" s="113"/>
      <c r="C9" s="132" t="s">
        <v>15</v>
      </c>
      <c r="D9" s="113"/>
      <c r="E9" s="7"/>
      <c r="F9" s="42" t="s">
        <v>16</v>
      </c>
      <c r="G9" s="8" t="s">
        <v>17</v>
      </c>
      <c r="H9" s="8" t="s">
        <v>18</v>
      </c>
      <c r="I9" s="9"/>
      <c r="J9" s="10"/>
    </row>
    <row r="10" spans="1:26" ht="15" customHeight="1" x14ac:dyDescent="0.25">
      <c r="A10" s="131" t="s">
        <v>19</v>
      </c>
      <c r="B10" s="113"/>
      <c r="C10" s="132" t="s">
        <v>20</v>
      </c>
      <c r="D10" s="113"/>
      <c r="E10" s="7"/>
      <c r="F10" s="42" t="s">
        <v>21</v>
      </c>
      <c r="G10" s="8" t="s">
        <v>22</v>
      </c>
      <c r="H10" s="8" t="s">
        <v>23</v>
      </c>
      <c r="I10" s="11"/>
      <c r="J10" s="10"/>
    </row>
    <row r="11" spans="1:26" ht="30" customHeight="1" x14ac:dyDescent="0.25">
      <c r="A11" s="133" t="s">
        <v>24</v>
      </c>
      <c r="B11" s="113"/>
      <c r="C11" s="136" t="s">
        <v>25</v>
      </c>
      <c r="D11" s="113"/>
      <c r="E11" s="7"/>
      <c r="F11" s="42" t="s">
        <v>26</v>
      </c>
      <c r="G11" s="8" t="s">
        <v>27</v>
      </c>
      <c r="H11" s="8" t="s">
        <v>28</v>
      </c>
      <c r="I11" s="11"/>
      <c r="J11" s="10"/>
    </row>
    <row r="12" spans="1:26" ht="15" customHeight="1" x14ac:dyDescent="0.25">
      <c r="A12" s="131" t="s">
        <v>29</v>
      </c>
      <c r="B12" s="113"/>
      <c r="C12" s="132" t="s">
        <v>30</v>
      </c>
      <c r="D12" s="113"/>
      <c r="E12" s="7"/>
      <c r="F12" s="42" t="s">
        <v>31</v>
      </c>
      <c r="G12" s="8" t="s">
        <v>32</v>
      </c>
      <c r="H12" s="8" t="s">
        <v>33</v>
      </c>
      <c r="I12" s="9"/>
      <c r="J12" s="10"/>
    </row>
    <row r="13" spans="1:26" ht="30" x14ac:dyDescent="0.25">
      <c r="A13" s="131" t="s">
        <v>34</v>
      </c>
      <c r="B13" s="113"/>
      <c r="C13" s="132" t="s">
        <v>35</v>
      </c>
      <c r="D13" s="113"/>
      <c r="E13" s="7"/>
      <c r="F13" s="42" t="s">
        <v>36</v>
      </c>
      <c r="G13" s="8" t="s">
        <v>37</v>
      </c>
      <c r="H13" s="8" t="s">
        <v>38</v>
      </c>
      <c r="I13" s="11"/>
      <c r="J13" s="12"/>
    </row>
    <row r="14" spans="1:26" ht="15" customHeight="1" x14ac:dyDescent="0.25">
      <c r="A14" s="131" t="s">
        <v>39</v>
      </c>
      <c r="B14" s="113"/>
      <c r="C14" s="132" t="s">
        <v>40</v>
      </c>
      <c r="D14" s="113"/>
      <c r="E14" s="7"/>
      <c r="F14" s="134" t="s">
        <v>41</v>
      </c>
      <c r="G14" s="113"/>
      <c r="H14" s="113"/>
      <c r="I14" s="135" t="s">
        <v>42</v>
      </c>
      <c r="J14" s="122"/>
    </row>
    <row r="15" spans="1:26" ht="15" customHeight="1" x14ac:dyDescent="0.25">
      <c r="A15" s="131" t="s">
        <v>43</v>
      </c>
      <c r="B15" s="113"/>
      <c r="C15" s="132" t="s">
        <v>44</v>
      </c>
      <c r="D15" s="113"/>
      <c r="E15" s="7"/>
      <c r="F15" s="43" t="s">
        <v>72</v>
      </c>
      <c r="G15" s="138" t="str">
        <f>FormSampel!B14</f>
        <v>HC 20925173 - 1</v>
      </c>
      <c r="H15" s="138"/>
      <c r="I15" s="93">
        <f>FormSampel!C14</f>
        <v>46356</v>
      </c>
      <c r="J15" s="94"/>
    </row>
    <row r="16" spans="1:26" ht="15" customHeight="1" x14ac:dyDescent="0.25">
      <c r="A16" s="131" t="s">
        <v>45</v>
      </c>
      <c r="B16" s="113"/>
      <c r="C16" s="137" t="s">
        <v>46</v>
      </c>
      <c r="D16" s="113"/>
      <c r="E16" s="113"/>
      <c r="F16" s="44" t="s">
        <v>73</v>
      </c>
      <c r="G16" s="101" t="str">
        <f>FormSampel!B15</f>
        <v>HC 28845526 - 1</v>
      </c>
      <c r="H16" s="101"/>
      <c r="I16" s="93">
        <f>FormSampel!C15</f>
        <v>46173</v>
      </c>
      <c r="J16" s="94"/>
    </row>
    <row r="17" spans="1:26" ht="15" customHeight="1" x14ac:dyDescent="0.25">
      <c r="A17" s="40"/>
      <c r="B17" s="42"/>
      <c r="C17" s="41"/>
      <c r="D17" s="41"/>
      <c r="E17" s="41"/>
      <c r="F17" s="44" t="s">
        <v>74</v>
      </c>
      <c r="G17" s="101" t="str">
        <f>FormSampel!B16</f>
        <v>HC 28959376 - 1</v>
      </c>
      <c r="H17" s="101"/>
      <c r="I17" s="93">
        <f>FormSampel!C16</f>
        <v>46203</v>
      </c>
      <c r="J17" s="94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5" t="s">
        <v>75</v>
      </c>
      <c r="G18" s="100" t="str">
        <f>FormSampel!B17</f>
        <v>HC 33253877 - 1</v>
      </c>
      <c r="H18" s="100"/>
      <c r="I18" s="95">
        <f>FormSampel!C17</f>
        <v>46691</v>
      </c>
      <c r="J18" s="96"/>
    </row>
    <row r="19" spans="1:26" x14ac:dyDescent="0.25">
      <c r="A19" s="97" t="s">
        <v>47</v>
      </c>
      <c r="B19" s="98"/>
      <c r="C19" s="98"/>
      <c r="D19" s="98"/>
      <c r="E19" s="98"/>
      <c r="F19" s="98"/>
      <c r="G19" s="98"/>
      <c r="H19" s="98"/>
      <c r="I19" s="98"/>
      <c r="J19" s="99"/>
    </row>
    <row r="20" spans="1:26" ht="26.25" customHeight="1" x14ac:dyDescent="0.25">
      <c r="A20" s="102" t="s">
        <v>48</v>
      </c>
      <c r="B20" s="103"/>
      <c r="C20" s="29">
        <f>FormSampel!G10</f>
        <v>0</v>
      </c>
      <c r="D20" s="30" t="s">
        <v>49</v>
      </c>
      <c r="E20" s="31">
        <v>1000</v>
      </c>
      <c r="F20" s="104" t="s">
        <v>50</v>
      </c>
      <c r="G20" s="103"/>
      <c r="H20" s="105" t="str">
        <f>IF(AND(C21&lt;0.15),"&lt;0.15",C21)</f>
        <v>&lt;0.15</v>
      </c>
      <c r="I20" s="106"/>
      <c r="J20" s="32" t="s">
        <v>51</v>
      </c>
    </row>
    <row r="21" spans="1:26" ht="15.75" customHeight="1" x14ac:dyDescent="0.25">
      <c r="A21" s="33" t="s">
        <v>52</v>
      </c>
      <c r="B21" s="34"/>
      <c r="C21" s="107">
        <f>C20/1000</f>
        <v>0</v>
      </c>
      <c r="D21" s="108"/>
      <c r="E21" s="35"/>
      <c r="F21" s="34"/>
      <c r="G21" s="34"/>
      <c r="H21" s="34"/>
      <c r="I21" s="34"/>
      <c r="J21" s="32"/>
    </row>
    <row r="22" spans="1:26" ht="15.75" customHeight="1" x14ac:dyDescent="0.25">
      <c r="A22" s="109" t="s">
        <v>55</v>
      </c>
      <c r="B22" s="110"/>
      <c r="C22" s="110"/>
      <c r="D22" s="110"/>
      <c r="E22" s="110"/>
      <c r="F22" s="110"/>
      <c r="G22" s="110"/>
      <c r="H22" s="110"/>
      <c r="I22" s="110"/>
      <c r="J22" s="11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02" t="s">
        <v>48</v>
      </c>
      <c r="B23" s="103"/>
      <c r="C23" s="29">
        <f>FormSampel!H10</f>
        <v>0</v>
      </c>
      <c r="D23" s="30" t="s">
        <v>49</v>
      </c>
      <c r="E23" s="36">
        <v>1000</v>
      </c>
      <c r="F23" s="104" t="s">
        <v>50</v>
      </c>
      <c r="G23" s="103"/>
      <c r="H23" s="105" t="str">
        <f>IF(C24&lt;0.15,"&lt;0.15",C24)</f>
        <v>&lt;0.15</v>
      </c>
      <c r="I23" s="106"/>
      <c r="J23" s="32" t="s">
        <v>51</v>
      </c>
    </row>
    <row r="24" spans="1:26" ht="15.75" customHeight="1" x14ac:dyDescent="0.25">
      <c r="A24" s="33" t="s">
        <v>52</v>
      </c>
      <c r="B24" s="34"/>
      <c r="C24" s="107">
        <f>C23/1000</f>
        <v>0</v>
      </c>
      <c r="D24" s="108"/>
      <c r="E24" s="35"/>
      <c r="F24" s="34"/>
      <c r="G24" s="34"/>
      <c r="H24" s="34"/>
      <c r="I24" s="34"/>
      <c r="J24" s="32"/>
    </row>
    <row r="25" spans="1:26" ht="15.75" customHeight="1" x14ac:dyDescent="0.25">
      <c r="A25" s="109" t="s">
        <v>53</v>
      </c>
      <c r="B25" s="110"/>
      <c r="C25" s="110"/>
      <c r="D25" s="110"/>
      <c r="E25" s="110"/>
      <c r="F25" s="110"/>
      <c r="G25" s="110"/>
      <c r="H25" s="110"/>
      <c r="I25" s="110"/>
      <c r="J25" s="11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12" t="s">
        <v>48</v>
      </c>
      <c r="B26" s="113"/>
      <c r="C26" s="29">
        <f>FormSampel!I10</f>
        <v>0</v>
      </c>
      <c r="D26" s="30" t="s">
        <v>49</v>
      </c>
      <c r="E26" s="36">
        <v>1000</v>
      </c>
      <c r="F26" s="114" t="s">
        <v>50</v>
      </c>
      <c r="G26" s="103"/>
      <c r="H26" s="105" t="str">
        <f>IF(AND(C27&lt;0.15),"&lt;0.15",C27)</f>
        <v>&lt;0.15</v>
      </c>
      <c r="I26" s="106"/>
      <c r="J26" s="37" t="s">
        <v>51</v>
      </c>
    </row>
    <row r="27" spans="1:26" ht="15.75" customHeight="1" x14ac:dyDescent="0.25">
      <c r="A27" s="33" t="s">
        <v>52</v>
      </c>
      <c r="B27" s="34"/>
      <c r="C27" s="115">
        <f>C26/1000</f>
        <v>0</v>
      </c>
      <c r="D27" s="116"/>
      <c r="E27" s="35"/>
      <c r="F27" s="34"/>
      <c r="G27" s="34"/>
      <c r="H27" s="34"/>
      <c r="I27" s="34"/>
      <c r="J27" s="32"/>
    </row>
    <row r="28" spans="1:26" ht="15.75" customHeight="1" x14ac:dyDescent="0.25">
      <c r="A28" s="109" t="s">
        <v>54</v>
      </c>
      <c r="B28" s="110"/>
      <c r="C28" s="110"/>
      <c r="D28" s="110"/>
      <c r="E28" s="110"/>
      <c r="F28" s="110"/>
      <c r="G28" s="110"/>
      <c r="H28" s="110"/>
      <c r="I28" s="110"/>
      <c r="J28" s="11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12" t="s">
        <v>48</v>
      </c>
      <c r="B29" s="113"/>
      <c r="C29" s="29">
        <f>FormSampel!J10</f>
        <v>0</v>
      </c>
      <c r="D29" s="30" t="s">
        <v>49</v>
      </c>
      <c r="E29" s="36">
        <v>1000</v>
      </c>
      <c r="F29" s="117" t="s">
        <v>50</v>
      </c>
      <c r="G29" s="113"/>
      <c r="H29" s="105" t="str">
        <f>IF(AND(C30&lt;0.15),"&lt;0.15",C30)</f>
        <v>&lt;0.15</v>
      </c>
      <c r="I29" s="106"/>
      <c r="J29" s="32" t="s">
        <v>51</v>
      </c>
    </row>
    <row r="30" spans="1:26" ht="15.75" customHeight="1" x14ac:dyDescent="0.25">
      <c r="A30" s="33" t="s">
        <v>52</v>
      </c>
      <c r="B30" s="34"/>
      <c r="C30" s="107">
        <f>C29/1000</f>
        <v>0</v>
      </c>
      <c r="D30" s="108"/>
      <c r="E30" s="35"/>
      <c r="F30" s="34"/>
      <c r="G30" s="34"/>
      <c r="H30" s="34"/>
      <c r="I30" s="34"/>
      <c r="J30" s="32"/>
    </row>
    <row r="31" spans="1:26" ht="15.75" customHeight="1" x14ac:dyDescent="0.25">
      <c r="A31" s="150" t="s">
        <v>56</v>
      </c>
      <c r="B31" s="119"/>
      <c r="C31" s="17"/>
      <c r="D31" s="17"/>
      <c r="E31" s="17"/>
      <c r="F31" s="18" t="s">
        <v>57</v>
      </c>
      <c r="G31" s="17"/>
      <c r="H31" s="17"/>
      <c r="I31" s="17"/>
      <c r="J31" s="19"/>
    </row>
    <row r="32" spans="1:26" ht="15.75" customHeight="1" x14ac:dyDescent="0.25">
      <c r="A32" s="20"/>
      <c r="B32" s="151" t="s">
        <v>58</v>
      </c>
      <c r="C32" s="113"/>
      <c r="D32" s="113"/>
      <c r="E32" s="122"/>
      <c r="F32" s="1"/>
      <c r="G32" s="1"/>
      <c r="H32" s="1"/>
      <c r="I32" s="1"/>
      <c r="J32" s="16"/>
    </row>
    <row r="33" spans="1:26" ht="15.75" customHeight="1" x14ac:dyDescent="0.25">
      <c r="A33" s="20"/>
      <c r="B33" s="113"/>
      <c r="C33" s="113"/>
      <c r="D33" s="113"/>
      <c r="E33" s="122"/>
      <c r="F33" s="21"/>
      <c r="G33" s="1"/>
      <c r="H33" s="1"/>
      <c r="I33" s="1"/>
      <c r="J33" s="16"/>
    </row>
    <row r="34" spans="1:26" ht="15.75" customHeight="1" x14ac:dyDescent="0.25">
      <c r="A34" s="22"/>
      <c r="B34" s="151" t="s">
        <v>59</v>
      </c>
      <c r="C34" s="113"/>
      <c r="D34" s="113"/>
      <c r="E34" s="122"/>
      <c r="F34" s="1"/>
      <c r="G34" s="1"/>
      <c r="H34" s="1"/>
      <c r="I34" s="1"/>
      <c r="J34" s="16"/>
    </row>
    <row r="35" spans="1:26" ht="15.75" customHeight="1" x14ac:dyDescent="0.25">
      <c r="A35" s="22"/>
      <c r="B35" s="113"/>
      <c r="C35" s="113"/>
      <c r="D35" s="113"/>
      <c r="E35" s="122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52" t="s">
        <v>60</v>
      </c>
      <c r="B38" s="119"/>
      <c r="C38" s="119"/>
      <c r="D38" s="119"/>
      <c r="E38" s="120"/>
      <c r="F38" s="139" t="str">
        <f>FormSampel!B19</f>
        <v>AMIR / MAISARAH</v>
      </c>
      <c r="G38" s="140"/>
      <c r="H38" s="143">
        <f>FormSampel!B20</f>
        <v>45700</v>
      </c>
      <c r="I38" s="143"/>
      <c r="J38" s="144"/>
    </row>
    <row r="39" spans="1:26" ht="11.25" customHeight="1" x14ac:dyDescent="0.25">
      <c r="A39" s="148"/>
      <c r="B39" s="149"/>
      <c r="C39" s="149"/>
      <c r="D39" s="149"/>
      <c r="E39" s="153"/>
      <c r="F39" s="141"/>
      <c r="G39" s="142"/>
      <c r="H39" s="145"/>
      <c r="I39" s="145"/>
      <c r="J39" s="146"/>
    </row>
    <row r="40" spans="1:26" ht="15.75" customHeight="1" x14ac:dyDescent="0.25">
      <c r="A40" s="147" t="s">
        <v>61</v>
      </c>
      <c r="B40" s="119"/>
      <c r="C40" s="119"/>
      <c r="D40" s="119"/>
      <c r="E40" s="119"/>
      <c r="F40" s="27"/>
      <c r="G40" s="23"/>
      <c r="H40" s="23"/>
      <c r="I40" s="23"/>
      <c r="J40" s="16"/>
    </row>
    <row r="41" spans="1:26" ht="11.25" customHeight="1" x14ac:dyDescent="0.25">
      <c r="A41" s="148"/>
      <c r="B41" s="149"/>
      <c r="C41" s="149"/>
      <c r="D41" s="149"/>
      <c r="E41" s="149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B34:E35"/>
    <mergeCell ref="A38:E39"/>
    <mergeCell ref="F38:G39"/>
    <mergeCell ref="H38:J39"/>
    <mergeCell ref="A40:E41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A16:B16"/>
    <mergeCell ref="C16:E16"/>
    <mergeCell ref="G16:H16"/>
    <mergeCell ref="I16:J16"/>
    <mergeCell ref="G17:H17"/>
    <mergeCell ref="I17:J17"/>
    <mergeCell ref="F14:H14"/>
    <mergeCell ref="I14:J14"/>
    <mergeCell ref="A15:B15"/>
    <mergeCell ref="C15:D15"/>
    <mergeCell ref="G15:H15"/>
    <mergeCell ref="I15:J15"/>
    <mergeCell ref="A12:B12"/>
    <mergeCell ref="C12:D12"/>
    <mergeCell ref="A13:B13"/>
    <mergeCell ref="C13:D13"/>
    <mergeCell ref="A14:B14"/>
    <mergeCell ref="C14:D14"/>
    <mergeCell ref="A9:B9"/>
    <mergeCell ref="C9:D9"/>
    <mergeCell ref="A10:B10"/>
    <mergeCell ref="C10:D10"/>
    <mergeCell ref="A11:B11"/>
    <mergeCell ref="C11:D11"/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</mergeCells>
  <pageMargins left="0.7" right="0.7" top="0.75" bottom="0.75" header="0" footer="0"/>
  <pageSetup paperSize="9" orientation="portrait" r:id="rId1"/>
  <headerFooter>
    <oddHeader>&amp;LPKKK/UAT/003B&amp;R16-Dis-2024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4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5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6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7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8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104DB7-A2ED-48E9-82FD-894C9EA51ED2}">
  <sheetPr codeName="Sheet8"/>
  <dimension ref="A1:Z579"/>
  <sheetViews>
    <sheetView view="pageLayout" zoomScale="112" zoomScaleNormal="100" zoomScalePageLayoutView="112" workbookViewId="0">
      <selection activeCell="A5" sqref="A5:J5"/>
    </sheetView>
  </sheetViews>
  <sheetFormatPr defaultColWidth="14.42578125" defaultRowHeight="15" customHeight="1" x14ac:dyDescent="0.25"/>
  <cols>
    <col min="1" max="1" width="12.85546875" style="39" customWidth="1"/>
    <col min="2" max="2" width="8" style="39" customWidth="1"/>
    <col min="3" max="3" width="11.28515625" style="39" customWidth="1"/>
    <col min="4" max="4" width="6" style="39" customWidth="1"/>
    <col min="5" max="5" width="6.85546875" style="39" customWidth="1"/>
    <col min="6" max="6" width="12.140625" style="39" customWidth="1"/>
    <col min="7" max="7" width="10" style="39" customWidth="1"/>
    <col min="8" max="8" width="8.5703125" style="39" customWidth="1"/>
    <col min="9" max="9" width="4.5703125" style="39" customWidth="1"/>
    <col min="10" max="10" width="6.7109375" style="39" customWidth="1"/>
    <col min="11" max="11" width="8" style="39" customWidth="1"/>
    <col min="12" max="16384" width="14.42578125" style="39"/>
  </cols>
  <sheetData>
    <row r="1" spans="1:26" x14ac:dyDescent="0.25">
      <c r="A1" s="123" t="s">
        <v>0</v>
      </c>
      <c r="B1" s="124"/>
      <c r="C1" s="124"/>
      <c r="D1" s="124"/>
      <c r="E1" s="124"/>
      <c r="F1" s="124"/>
      <c r="G1" s="124"/>
      <c r="H1" s="124"/>
      <c r="I1" s="124"/>
      <c r="J1" s="125"/>
    </row>
    <row r="2" spans="1:26" x14ac:dyDescent="0.25">
      <c r="A2" s="123" t="s">
        <v>1</v>
      </c>
      <c r="B2" s="124"/>
      <c r="C2" s="124"/>
      <c r="D2" s="124"/>
      <c r="E2" s="124"/>
      <c r="F2" s="124"/>
      <c r="G2" s="124"/>
      <c r="H2" s="124"/>
      <c r="I2" s="124"/>
      <c r="J2" s="125"/>
    </row>
    <row r="3" spans="1:26" x14ac:dyDescent="0.25">
      <c r="A3" s="126" t="s">
        <v>2</v>
      </c>
      <c r="B3" s="124"/>
      <c r="C3" s="125"/>
      <c r="D3" s="127">
        <f>FormSampel!F11</f>
        <v>0</v>
      </c>
      <c r="E3" s="124"/>
      <c r="F3" s="124"/>
      <c r="G3" s="124"/>
      <c r="H3" s="124"/>
      <c r="I3" s="124"/>
      <c r="J3" s="125"/>
    </row>
    <row r="4" spans="1:26" x14ac:dyDescent="0.25">
      <c r="A4" s="126" t="s">
        <v>3</v>
      </c>
      <c r="B4" s="124"/>
      <c r="C4" s="125"/>
      <c r="D4" s="127" t="str">
        <f>FormSampel!B2</f>
        <v>120225(2)</v>
      </c>
      <c r="E4" s="124"/>
      <c r="F4" s="124"/>
      <c r="G4" s="124"/>
      <c r="H4" s="124"/>
      <c r="I4" s="124"/>
      <c r="J4" s="125"/>
    </row>
    <row r="5" spans="1:26" ht="15" customHeight="1" x14ac:dyDescent="0.25">
      <c r="A5" s="128" t="s">
        <v>87</v>
      </c>
      <c r="B5" s="124"/>
      <c r="C5" s="124"/>
      <c r="D5" s="124"/>
      <c r="E5" s="124"/>
      <c r="F5" s="124"/>
      <c r="G5" s="124"/>
      <c r="H5" s="124"/>
      <c r="I5" s="124"/>
      <c r="J5" s="125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28" t="s">
        <v>4</v>
      </c>
      <c r="B6" s="124"/>
      <c r="C6" s="124"/>
      <c r="D6" s="124"/>
      <c r="E6" s="124"/>
      <c r="F6" s="124"/>
      <c r="G6" s="124"/>
      <c r="H6" s="124"/>
      <c r="I6" s="124"/>
      <c r="J6" s="125"/>
    </row>
    <row r="7" spans="1:26" ht="30" customHeight="1" x14ac:dyDescent="0.25">
      <c r="A7" s="129" t="s">
        <v>5</v>
      </c>
      <c r="B7" s="119"/>
      <c r="C7" s="130" t="s">
        <v>6</v>
      </c>
      <c r="D7" s="119"/>
      <c r="E7" s="119"/>
      <c r="F7" s="42" t="s">
        <v>7</v>
      </c>
      <c r="G7" s="118" t="s">
        <v>8</v>
      </c>
      <c r="H7" s="119"/>
      <c r="I7" s="119"/>
      <c r="J7" s="120"/>
    </row>
    <row r="8" spans="1:26" ht="15" customHeight="1" x14ac:dyDescent="0.25">
      <c r="A8" s="131" t="s">
        <v>9</v>
      </c>
      <c r="B8" s="113"/>
      <c r="C8" s="132" t="s">
        <v>10</v>
      </c>
      <c r="D8" s="113"/>
      <c r="E8" s="4"/>
      <c r="F8" s="38" t="s">
        <v>11</v>
      </c>
      <c r="G8" s="6" t="s">
        <v>12</v>
      </c>
      <c r="H8" s="6" t="s">
        <v>13</v>
      </c>
      <c r="I8" s="121"/>
      <c r="J8" s="122"/>
    </row>
    <row r="9" spans="1:26" ht="30" customHeight="1" x14ac:dyDescent="0.25">
      <c r="A9" s="133" t="s">
        <v>14</v>
      </c>
      <c r="B9" s="113"/>
      <c r="C9" s="132" t="s">
        <v>15</v>
      </c>
      <c r="D9" s="113"/>
      <c r="E9" s="7"/>
      <c r="F9" s="42" t="s">
        <v>16</v>
      </c>
      <c r="G9" s="8" t="s">
        <v>17</v>
      </c>
      <c r="H9" s="8" t="s">
        <v>18</v>
      </c>
      <c r="I9" s="9"/>
      <c r="J9" s="10"/>
    </row>
    <row r="10" spans="1:26" ht="15" customHeight="1" x14ac:dyDescent="0.25">
      <c r="A10" s="131" t="s">
        <v>19</v>
      </c>
      <c r="B10" s="113"/>
      <c r="C10" s="132" t="s">
        <v>20</v>
      </c>
      <c r="D10" s="113"/>
      <c r="E10" s="7"/>
      <c r="F10" s="42" t="s">
        <v>21</v>
      </c>
      <c r="G10" s="8" t="s">
        <v>22</v>
      </c>
      <c r="H10" s="8" t="s">
        <v>23</v>
      </c>
      <c r="I10" s="11"/>
      <c r="J10" s="10"/>
    </row>
    <row r="11" spans="1:26" ht="30" customHeight="1" x14ac:dyDescent="0.25">
      <c r="A11" s="133" t="s">
        <v>24</v>
      </c>
      <c r="B11" s="113"/>
      <c r="C11" s="136" t="s">
        <v>25</v>
      </c>
      <c r="D11" s="113"/>
      <c r="E11" s="7"/>
      <c r="F11" s="42" t="s">
        <v>26</v>
      </c>
      <c r="G11" s="8" t="s">
        <v>27</v>
      </c>
      <c r="H11" s="8" t="s">
        <v>28</v>
      </c>
      <c r="I11" s="11"/>
      <c r="J11" s="10"/>
    </row>
    <row r="12" spans="1:26" ht="15" customHeight="1" x14ac:dyDescent="0.25">
      <c r="A12" s="131" t="s">
        <v>29</v>
      </c>
      <c r="B12" s="113"/>
      <c r="C12" s="132" t="s">
        <v>30</v>
      </c>
      <c r="D12" s="113"/>
      <c r="E12" s="7"/>
      <c r="F12" s="42" t="s">
        <v>31</v>
      </c>
      <c r="G12" s="8" t="s">
        <v>32</v>
      </c>
      <c r="H12" s="8" t="s">
        <v>33</v>
      </c>
      <c r="I12" s="9"/>
      <c r="J12" s="10"/>
    </row>
    <row r="13" spans="1:26" ht="30" x14ac:dyDescent="0.25">
      <c r="A13" s="131" t="s">
        <v>34</v>
      </c>
      <c r="B13" s="113"/>
      <c r="C13" s="132" t="s">
        <v>35</v>
      </c>
      <c r="D13" s="113"/>
      <c r="E13" s="7"/>
      <c r="F13" s="42" t="s">
        <v>36</v>
      </c>
      <c r="G13" s="8" t="s">
        <v>37</v>
      </c>
      <c r="H13" s="8" t="s">
        <v>38</v>
      </c>
      <c r="I13" s="11"/>
      <c r="J13" s="12"/>
    </row>
    <row r="14" spans="1:26" ht="15" customHeight="1" x14ac:dyDescent="0.25">
      <c r="A14" s="131" t="s">
        <v>39</v>
      </c>
      <c r="B14" s="113"/>
      <c r="C14" s="132" t="s">
        <v>40</v>
      </c>
      <c r="D14" s="113"/>
      <c r="E14" s="7"/>
      <c r="F14" s="134" t="s">
        <v>41</v>
      </c>
      <c r="G14" s="113"/>
      <c r="H14" s="113"/>
      <c r="I14" s="135" t="s">
        <v>42</v>
      </c>
      <c r="J14" s="122"/>
    </row>
    <row r="15" spans="1:26" ht="15" customHeight="1" x14ac:dyDescent="0.25">
      <c r="A15" s="131" t="s">
        <v>43</v>
      </c>
      <c r="B15" s="113"/>
      <c r="C15" s="132" t="s">
        <v>44</v>
      </c>
      <c r="D15" s="113"/>
      <c r="E15" s="7"/>
      <c r="F15" s="43" t="s">
        <v>72</v>
      </c>
      <c r="G15" s="138" t="str">
        <f>FormSampel!B14</f>
        <v>HC 20925173 - 1</v>
      </c>
      <c r="H15" s="138"/>
      <c r="I15" s="93">
        <f>FormSampel!C14</f>
        <v>46356</v>
      </c>
      <c r="J15" s="94"/>
    </row>
    <row r="16" spans="1:26" ht="15" customHeight="1" x14ac:dyDescent="0.25">
      <c r="A16" s="131" t="s">
        <v>45</v>
      </c>
      <c r="B16" s="113"/>
      <c r="C16" s="137" t="s">
        <v>46</v>
      </c>
      <c r="D16" s="113"/>
      <c r="E16" s="113"/>
      <c r="F16" s="44" t="s">
        <v>73</v>
      </c>
      <c r="G16" s="101" t="str">
        <f>FormSampel!B15</f>
        <v>HC 28845526 - 1</v>
      </c>
      <c r="H16" s="101"/>
      <c r="I16" s="93">
        <f>FormSampel!C15</f>
        <v>46173</v>
      </c>
      <c r="J16" s="94"/>
    </row>
    <row r="17" spans="1:26" ht="15" customHeight="1" x14ac:dyDescent="0.25">
      <c r="A17" s="40"/>
      <c r="B17" s="42"/>
      <c r="C17" s="41"/>
      <c r="D17" s="41"/>
      <c r="E17" s="41"/>
      <c r="F17" s="44" t="s">
        <v>74</v>
      </c>
      <c r="G17" s="101" t="str">
        <f>FormSampel!B16</f>
        <v>HC 28959376 - 1</v>
      </c>
      <c r="H17" s="101"/>
      <c r="I17" s="93">
        <f>FormSampel!C16</f>
        <v>46203</v>
      </c>
      <c r="J17" s="94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5" t="s">
        <v>75</v>
      </c>
      <c r="G18" s="100" t="str">
        <f>FormSampel!B17</f>
        <v>HC 33253877 - 1</v>
      </c>
      <c r="H18" s="100"/>
      <c r="I18" s="95">
        <f>FormSampel!C17</f>
        <v>46691</v>
      </c>
      <c r="J18" s="96"/>
    </row>
    <row r="19" spans="1:26" x14ac:dyDescent="0.25">
      <c r="A19" s="97" t="s">
        <v>47</v>
      </c>
      <c r="B19" s="98"/>
      <c r="C19" s="98"/>
      <c r="D19" s="98"/>
      <c r="E19" s="98"/>
      <c r="F19" s="98"/>
      <c r="G19" s="98"/>
      <c r="H19" s="98"/>
      <c r="I19" s="98"/>
      <c r="J19" s="99"/>
    </row>
    <row r="20" spans="1:26" ht="26.25" customHeight="1" x14ac:dyDescent="0.25">
      <c r="A20" s="102" t="s">
        <v>48</v>
      </c>
      <c r="B20" s="103"/>
      <c r="C20" s="29">
        <f>FormSampel!G11</f>
        <v>0</v>
      </c>
      <c r="D20" s="30" t="s">
        <v>49</v>
      </c>
      <c r="E20" s="31">
        <v>1000</v>
      </c>
      <c r="F20" s="104" t="s">
        <v>50</v>
      </c>
      <c r="G20" s="103"/>
      <c r="H20" s="105" t="str">
        <f>IF(AND(C21&lt;0.15),"&lt;0.15",C21)</f>
        <v>&lt;0.15</v>
      </c>
      <c r="I20" s="106"/>
      <c r="J20" s="32" t="s">
        <v>51</v>
      </c>
    </row>
    <row r="21" spans="1:26" ht="15.75" customHeight="1" x14ac:dyDescent="0.25">
      <c r="A21" s="33" t="s">
        <v>52</v>
      </c>
      <c r="B21" s="34"/>
      <c r="C21" s="107">
        <f>C20/1000</f>
        <v>0</v>
      </c>
      <c r="D21" s="108"/>
      <c r="E21" s="35"/>
      <c r="F21" s="34"/>
      <c r="G21" s="34"/>
      <c r="H21" s="34"/>
      <c r="I21" s="34"/>
      <c r="J21" s="32"/>
    </row>
    <row r="22" spans="1:26" ht="15.75" customHeight="1" x14ac:dyDescent="0.25">
      <c r="A22" s="109" t="s">
        <v>55</v>
      </c>
      <c r="B22" s="110"/>
      <c r="C22" s="110"/>
      <c r="D22" s="110"/>
      <c r="E22" s="110"/>
      <c r="F22" s="110"/>
      <c r="G22" s="110"/>
      <c r="H22" s="110"/>
      <c r="I22" s="110"/>
      <c r="J22" s="11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02" t="s">
        <v>48</v>
      </c>
      <c r="B23" s="103"/>
      <c r="C23" s="29">
        <f>FormSampel!H11</f>
        <v>0</v>
      </c>
      <c r="D23" s="30" t="s">
        <v>49</v>
      </c>
      <c r="E23" s="36">
        <v>1000</v>
      </c>
      <c r="F23" s="104" t="s">
        <v>50</v>
      </c>
      <c r="G23" s="103"/>
      <c r="H23" s="105" t="str">
        <f>IF(C24&lt;0.15,"&lt;0.15",C24)</f>
        <v>&lt;0.15</v>
      </c>
      <c r="I23" s="106"/>
      <c r="J23" s="32" t="s">
        <v>51</v>
      </c>
    </row>
    <row r="24" spans="1:26" ht="15.75" customHeight="1" x14ac:dyDescent="0.25">
      <c r="A24" s="33" t="s">
        <v>52</v>
      </c>
      <c r="B24" s="34"/>
      <c r="C24" s="107">
        <f>C23/1000</f>
        <v>0</v>
      </c>
      <c r="D24" s="108"/>
      <c r="E24" s="35"/>
      <c r="F24" s="34"/>
      <c r="G24" s="34"/>
      <c r="H24" s="34"/>
      <c r="I24" s="34"/>
      <c r="J24" s="32"/>
    </row>
    <row r="25" spans="1:26" ht="15.75" customHeight="1" x14ac:dyDescent="0.25">
      <c r="A25" s="109" t="s">
        <v>53</v>
      </c>
      <c r="B25" s="110"/>
      <c r="C25" s="110"/>
      <c r="D25" s="110"/>
      <c r="E25" s="110"/>
      <c r="F25" s="110"/>
      <c r="G25" s="110"/>
      <c r="H25" s="110"/>
      <c r="I25" s="110"/>
      <c r="J25" s="11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12" t="s">
        <v>48</v>
      </c>
      <c r="B26" s="113"/>
      <c r="C26" s="29">
        <f>FormSampel!I11</f>
        <v>0</v>
      </c>
      <c r="D26" s="30" t="s">
        <v>49</v>
      </c>
      <c r="E26" s="36">
        <v>1000</v>
      </c>
      <c r="F26" s="114" t="s">
        <v>50</v>
      </c>
      <c r="G26" s="103"/>
      <c r="H26" s="105" t="str">
        <f>IF(AND(C27&lt;0.15),"&lt;0.15",C27)</f>
        <v>&lt;0.15</v>
      </c>
      <c r="I26" s="106"/>
      <c r="J26" s="37" t="s">
        <v>51</v>
      </c>
    </row>
    <row r="27" spans="1:26" ht="15.75" customHeight="1" x14ac:dyDescent="0.25">
      <c r="A27" s="33" t="s">
        <v>52</v>
      </c>
      <c r="B27" s="34"/>
      <c r="C27" s="115">
        <f>C26/1000</f>
        <v>0</v>
      </c>
      <c r="D27" s="116"/>
      <c r="E27" s="35"/>
      <c r="F27" s="34"/>
      <c r="G27" s="34"/>
      <c r="H27" s="34"/>
      <c r="I27" s="34"/>
      <c r="J27" s="32"/>
    </row>
    <row r="28" spans="1:26" ht="15.75" customHeight="1" x14ac:dyDescent="0.25">
      <c r="A28" s="109" t="s">
        <v>54</v>
      </c>
      <c r="B28" s="110"/>
      <c r="C28" s="110"/>
      <c r="D28" s="110"/>
      <c r="E28" s="110"/>
      <c r="F28" s="110"/>
      <c r="G28" s="110"/>
      <c r="H28" s="110"/>
      <c r="I28" s="110"/>
      <c r="J28" s="11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12" t="s">
        <v>48</v>
      </c>
      <c r="B29" s="113"/>
      <c r="C29" s="29">
        <f>FormSampel!J11</f>
        <v>0</v>
      </c>
      <c r="D29" s="30" t="s">
        <v>49</v>
      </c>
      <c r="E29" s="36">
        <v>1000</v>
      </c>
      <c r="F29" s="117" t="s">
        <v>50</v>
      </c>
      <c r="G29" s="113"/>
      <c r="H29" s="105" t="str">
        <f>IF(AND(C30&lt;0.15),"&lt;0.15",C30)</f>
        <v>&lt;0.15</v>
      </c>
      <c r="I29" s="106"/>
      <c r="J29" s="32" t="s">
        <v>51</v>
      </c>
    </row>
    <row r="30" spans="1:26" ht="15.75" customHeight="1" x14ac:dyDescent="0.25">
      <c r="A30" s="33" t="s">
        <v>52</v>
      </c>
      <c r="B30" s="34"/>
      <c r="C30" s="107">
        <f>C29/1000</f>
        <v>0</v>
      </c>
      <c r="D30" s="108"/>
      <c r="E30" s="35"/>
      <c r="F30" s="34"/>
      <c r="G30" s="34"/>
      <c r="H30" s="34"/>
      <c r="I30" s="34"/>
      <c r="J30" s="32"/>
    </row>
    <row r="31" spans="1:26" ht="15.75" customHeight="1" x14ac:dyDescent="0.25">
      <c r="A31" s="150" t="s">
        <v>56</v>
      </c>
      <c r="B31" s="119"/>
      <c r="C31" s="17"/>
      <c r="D31" s="17"/>
      <c r="E31" s="17"/>
      <c r="F31" s="18" t="s">
        <v>57</v>
      </c>
      <c r="G31" s="17"/>
      <c r="H31" s="17"/>
      <c r="I31" s="17"/>
      <c r="J31" s="19"/>
    </row>
    <row r="32" spans="1:26" ht="15.75" customHeight="1" x14ac:dyDescent="0.25">
      <c r="A32" s="20"/>
      <c r="B32" s="151" t="s">
        <v>58</v>
      </c>
      <c r="C32" s="113"/>
      <c r="D32" s="113"/>
      <c r="E32" s="122"/>
      <c r="F32" s="1"/>
      <c r="G32" s="1"/>
      <c r="H32" s="1"/>
      <c r="I32" s="1"/>
      <c r="J32" s="16"/>
    </row>
    <row r="33" spans="1:26" ht="15.75" customHeight="1" x14ac:dyDescent="0.25">
      <c r="A33" s="20"/>
      <c r="B33" s="113"/>
      <c r="C33" s="113"/>
      <c r="D33" s="113"/>
      <c r="E33" s="122"/>
      <c r="F33" s="21"/>
      <c r="G33" s="1"/>
      <c r="H33" s="1"/>
      <c r="I33" s="1"/>
      <c r="J33" s="16"/>
    </row>
    <row r="34" spans="1:26" ht="15.75" customHeight="1" x14ac:dyDescent="0.25">
      <c r="A34" s="22"/>
      <c r="B34" s="151" t="s">
        <v>59</v>
      </c>
      <c r="C34" s="113"/>
      <c r="D34" s="113"/>
      <c r="E34" s="122"/>
      <c r="F34" s="1"/>
      <c r="G34" s="1"/>
      <c r="H34" s="1"/>
      <c r="I34" s="1"/>
      <c r="J34" s="16"/>
    </row>
    <row r="35" spans="1:26" ht="15.75" customHeight="1" x14ac:dyDescent="0.25">
      <c r="A35" s="22"/>
      <c r="B35" s="113"/>
      <c r="C35" s="113"/>
      <c r="D35" s="113"/>
      <c r="E35" s="122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52" t="s">
        <v>60</v>
      </c>
      <c r="B38" s="119"/>
      <c r="C38" s="119"/>
      <c r="D38" s="119"/>
      <c r="E38" s="120"/>
      <c r="F38" s="139" t="str">
        <f>FormSampel!B19</f>
        <v>AMIR / MAISARAH</v>
      </c>
      <c r="G38" s="140"/>
      <c r="H38" s="143">
        <f>FormSampel!B20</f>
        <v>45700</v>
      </c>
      <c r="I38" s="143"/>
      <c r="J38" s="144"/>
    </row>
    <row r="39" spans="1:26" ht="11.25" customHeight="1" x14ac:dyDescent="0.25">
      <c r="A39" s="148"/>
      <c r="B39" s="149"/>
      <c r="C39" s="149"/>
      <c r="D39" s="149"/>
      <c r="E39" s="153"/>
      <c r="F39" s="141"/>
      <c r="G39" s="142"/>
      <c r="H39" s="145"/>
      <c r="I39" s="145"/>
      <c r="J39" s="146"/>
    </row>
    <row r="40" spans="1:26" ht="15.75" customHeight="1" x14ac:dyDescent="0.25">
      <c r="A40" s="147" t="s">
        <v>61</v>
      </c>
      <c r="B40" s="119"/>
      <c r="C40" s="119"/>
      <c r="D40" s="119"/>
      <c r="E40" s="119"/>
      <c r="F40" s="27"/>
      <c r="G40" s="23"/>
      <c r="H40" s="23"/>
      <c r="I40" s="23"/>
      <c r="J40" s="16"/>
    </row>
    <row r="41" spans="1:26" ht="11.25" customHeight="1" x14ac:dyDescent="0.25">
      <c r="A41" s="148"/>
      <c r="B41" s="149"/>
      <c r="C41" s="149"/>
      <c r="D41" s="149"/>
      <c r="E41" s="149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B34:E35"/>
    <mergeCell ref="A38:E39"/>
    <mergeCell ref="F38:G39"/>
    <mergeCell ref="H38:J39"/>
    <mergeCell ref="A40:E41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A16:B16"/>
    <mergeCell ref="C16:E16"/>
    <mergeCell ref="G16:H16"/>
    <mergeCell ref="I16:J16"/>
    <mergeCell ref="G17:H17"/>
    <mergeCell ref="I17:J17"/>
    <mergeCell ref="F14:H14"/>
    <mergeCell ref="I14:J14"/>
    <mergeCell ref="A15:B15"/>
    <mergeCell ref="C15:D15"/>
    <mergeCell ref="G15:H15"/>
    <mergeCell ref="I15:J15"/>
    <mergeCell ref="A12:B12"/>
    <mergeCell ref="C12:D12"/>
    <mergeCell ref="A13:B13"/>
    <mergeCell ref="C13:D13"/>
    <mergeCell ref="A14:B14"/>
    <mergeCell ref="C14:D14"/>
    <mergeCell ref="A9:B9"/>
    <mergeCell ref="C9:D9"/>
    <mergeCell ref="A10:B10"/>
    <mergeCell ref="C10:D10"/>
    <mergeCell ref="A11:B11"/>
    <mergeCell ref="C11:D11"/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</mergeCells>
  <pageMargins left="0.7" right="0.7" top="0.75" bottom="0.75" header="0" footer="0"/>
  <pageSetup paperSize="9" orientation="portrait" r:id="rId1"/>
  <headerFooter>
    <oddHeader>&amp;LPKKK/UAT/003B&amp;R16-Dis-2024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8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9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0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1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2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4F4E2D-318D-45CF-BF35-DBCA876EC217}">
  <sheetPr codeName="Sheet9"/>
  <dimension ref="A1:Z579"/>
  <sheetViews>
    <sheetView view="pageLayout" zoomScale="112" zoomScaleNormal="100" zoomScalePageLayoutView="112" workbookViewId="0">
      <selection activeCell="A5" sqref="A5:J5"/>
    </sheetView>
  </sheetViews>
  <sheetFormatPr defaultColWidth="14.42578125" defaultRowHeight="15" customHeight="1" x14ac:dyDescent="0.25"/>
  <cols>
    <col min="1" max="1" width="12.85546875" style="39" customWidth="1"/>
    <col min="2" max="2" width="8" style="39" customWidth="1"/>
    <col min="3" max="3" width="11.28515625" style="39" customWidth="1"/>
    <col min="4" max="4" width="6" style="39" customWidth="1"/>
    <col min="5" max="5" width="6.85546875" style="39" customWidth="1"/>
    <col min="6" max="6" width="12.140625" style="39" customWidth="1"/>
    <col min="7" max="7" width="10" style="39" customWidth="1"/>
    <col min="8" max="8" width="8.5703125" style="39" customWidth="1"/>
    <col min="9" max="9" width="4.5703125" style="39" customWidth="1"/>
    <col min="10" max="10" width="6.7109375" style="39" customWidth="1"/>
    <col min="11" max="11" width="8" style="39" customWidth="1"/>
    <col min="12" max="16384" width="14.42578125" style="39"/>
  </cols>
  <sheetData>
    <row r="1" spans="1:26" x14ac:dyDescent="0.25">
      <c r="A1" s="123" t="s">
        <v>0</v>
      </c>
      <c r="B1" s="124"/>
      <c r="C1" s="124"/>
      <c r="D1" s="124"/>
      <c r="E1" s="124"/>
      <c r="F1" s="124"/>
      <c r="G1" s="124"/>
      <c r="H1" s="124"/>
      <c r="I1" s="124"/>
      <c r="J1" s="125"/>
    </row>
    <row r="2" spans="1:26" x14ac:dyDescent="0.25">
      <c r="A2" s="123" t="s">
        <v>1</v>
      </c>
      <c r="B2" s="124"/>
      <c r="C2" s="124"/>
      <c r="D2" s="124"/>
      <c r="E2" s="124"/>
      <c r="F2" s="124"/>
      <c r="G2" s="124"/>
      <c r="H2" s="124"/>
      <c r="I2" s="124"/>
      <c r="J2" s="125"/>
    </row>
    <row r="3" spans="1:26" x14ac:dyDescent="0.25">
      <c r="A3" s="126" t="s">
        <v>2</v>
      </c>
      <c r="B3" s="124"/>
      <c r="C3" s="125"/>
      <c r="D3" s="127">
        <f>FormSampel!F12</f>
        <v>0</v>
      </c>
      <c r="E3" s="124"/>
      <c r="F3" s="124"/>
      <c r="G3" s="124"/>
      <c r="H3" s="124"/>
      <c r="I3" s="124"/>
      <c r="J3" s="125"/>
    </row>
    <row r="4" spans="1:26" x14ac:dyDescent="0.25">
      <c r="A4" s="126" t="s">
        <v>3</v>
      </c>
      <c r="B4" s="124"/>
      <c r="C4" s="125"/>
      <c r="D4" s="127" t="str">
        <f>FormSampel!B2</f>
        <v>120225(2)</v>
      </c>
      <c r="E4" s="124"/>
      <c r="F4" s="124"/>
      <c r="G4" s="124"/>
      <c r="H4" s="124"/>
      <c r="I4" s="124"/>
      <c r="J4" s="125"/>
    </row>
    <row r="5" spans="1:26" ht="15" customHeight="1" x14ac:dyDescent="0.25">
      <c r="A5" s="128" t="s">
        <v>87</v>
      </c>
      <c r="B5" s="124"/>
      <c r="C5" s="124"/>
      <c r="D5" s="124"/>
      <c r="E5" s="124"/>
      <c r="F5" s="124"/>
      <c r="G5" s="124"/>
      <c r="H5" s="124"/>
      <c r="I5" s="124"/>
      <c r="J5" s="125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28" t="s">
        <v>4</v>
      </c>
      <c r="B6" s="124"/>
      <c r="C6" s="124"/>
      <c r="D6" s="124"/>
      <c r="E6" s="124"/>
      <c r="F6" s="124"/>
      <c r="G6" s="124"/>
      <c r="H6" s="124"/>
      <c r="I6" s="124"/>
      <c r="J6" s="125"/>
    </row>
    <row r="7" spans="1:26" ht="30" customHeight="1" x14ac:dyDescent="0.25">
      <c r="A7" s="129" t="s">
        <v>5</v>
      </c>
      <c r="B7" s="119"/>
      <c r="C7" s="130" t="s">
        <v>6</v>
      </c>
      <c r="D7" s="119"/>
      <c r="E7" s="119"/>
      <c r="F7" s="42" t="s">
        <v>7</v>
      </c>
      <c r="G7" s="118" t="s">
        <v>8</v>
      </c>
      <c r="H7" s="119"/>
      <c r="I7" s="119"/>
      <c r="J7" s="120"/>
    </row>
    <row r="8" spans="1:26" ht="15" customHeight="1" x14ac:dyDescent="0.25">
      <c r="A8" s="131" t="s">
        <v>9</v>
      </c>
      <c r="B8" s="113"/>
      <c r="C8" s="132" t="s">
        <v>10</v>
      </c>
      <c r="D8" s="113"/>
      <c r="E8" s="4"/>
      <c r="F8" s="38" t="s">
        <v>11</v>
      </c>
      <c r="G8" s="6" t="s">
        <v>12</v>
      </c>
      <c r="H8" s="6" t="s">
        <v>13</v>
      </c>
      <c r="I8" s="121"/>
      <c r="J8" s="122"/>
    </row>
    <row r="9" spans="1:26" ht="30" customHeight="1" x14ac:dyDescent="0.25">
      <c r="A9" s="133" t="s">
        <v>14</v>
      </c>
      <c r="B9" s="113"/>
      <c r="C9" s="132" t="s">
        <v>15</v>
      </c>
      <c r="D9" s="113"/>
      <c r="E9" s="7"/>
      <c r="F9" s="42" t="s">
        <v>16</v>
      </c>
      <c r="G9" s="8" t="s">
        <v>17</v>
      </c>
      <c r="H9" s="8" t="s">
        <v>18</v>
      </c>
      <c r="I9" s="9"/>
      <c r="J9" s="10"/>
    </row>
    <row r="10" spans="1:26" ht="15" customHeight="1" x14ac:dyDescent="0.25">
      <c r="A10" s="131" t="s">
        <v>19</v>
      </c>
      <c r="B10" s="113"/>
      <c r="C10" s="132" t="s">
        <v>20</v>
      </c>
      <c r="D10" s="113"/>
      <c r="E10" s="7"/>
      <c r="F10" s="42" t="s">
        <v>21</v>
      </c>
      <c r="G10" s="8" t="s">
        <v>22</v>
      </c>
      <c r="H10" s="8" t="s">
        <v>23</v>
      </c>
      <c r="I10" s="11"/>
      <c r="J10" s="10"/>
    </row>
    <row r="11" spans="1:26" ht="30" customHeight="1" x14ac:dyDescent="0.25">
      <c r="A11" s="133" t="s">
        <v>24</v>
      </c>
      <c r="B11" s="113"/>
      <c r="C11" s="136" t="s">
        <v>25</v>
      </c>
      <c r="D11" s="113"/>
      <c r="E11" s="7"/>
      <c r="F11" s="42" t="s">
        <v>26</v>
      </c>
      <c r="G11" s="8" t="s">
        <v>27</v>
      </c>
      <c r="H11" s="8" t="s">
        <v>28</v>
      </c>
      <c r="I11" s="11"/>
      <c r="J11" s="10"/>
    </row>
    <row r="12" spans="1:26" ht="15" customHeight="1" x14ac:dyDescent="0.25">
      <c r="A12" s="131" t="s">
        <v>29</v>
      </c>
      <c r="B12" s="113"/>
      <c r="C12" s="132" t="s">
        <v>30</v>
      </c>
      <c r="D12" s="113"/>
      <c r="E12" s="7"/>
      <c r="F12" s="42" t="s">
        <v>31</v>
      </c>
      <c r="G12" s="8" t="s">
        <v>32</v>
      </c>
      <c r="H12" s="8" t="s">
        <v>33</v>
      </c>
      <c r="I12" s="9"/>
      <c r="J12" s="10"/>
    </row>
    <row r="13" spans="1:26" ht="30" x14ac:dyDescent="0.25">
      <c r="A13" s="131" t="s">
        <v>34</v>
      </c>
      <c r="B13" s="113"/>
      <c r="C13" s="132" t="s">
        <v>35</v>
      </c>
      <c r="D13" s="113"/>
      <c r="E13" s="7"/>
      <c r="F13" s="42" t="s">
        <v>36</v>
      </c>
      <c r="G13" s="8" t="s">
        <v>37</v>
      </c>
      <c r="H13" s="8" t="s">
        <v>38</v>
      </c>
      <c r="I13" s="11"/>
      <c r="J13" s="12"/>
    </row>
    <row r="14" spans="1:26" ht="15" customHeight="1" x14ac:dyDescent="0.25">
      <c r="A14" s="131" t="s">
        <v>39</v>
      </c>
      <c r="B14" s="113"/>
      <c r="C14" s="132" t="s">
        <v>40</v>
      </c>
      <c r="D14" s="113"/>
      <c r="E14" s="7"/>
      <c r="F14" s="134" t="s">
        <v>41</v>
      </c>
      <c r="G14" s="113"/>
      <c r="H14" s="113"/>
      <c r="I14" s="135" t="s">
        <v>42</v>
      </c>
      <c r="J14" s="122"/>
    </row>
    <row r="15" spans="1:26" ht="15" customHeight="1" x14ac:dyDescent="0.25">
      <c r="A15" s="131" t="s">
        <v>43</v>
      </c>
      <c r="B15" s="113"/>
      <c r="C15" s="132" t="s">
        <v>44</v>
      </c>
      <c r="D15" s="113"/>
      <c r="E15" s="7"/>
      <c r="F15" s="43" t="s">
        <v>72</v>
      </c>
      <c r="G15" s="138" t="str">
        <f>FormSampel!B14</f>
        <v>HC 20925173 - 1</v>
      </c>
      <c r="H15" s="138"/>
      <c r="I15" s="93">
        <f>FormSampel!C14</f>
        <v>46356</v>
      </c>
      <c r="J15" s="94"/>
    </row>
    <row r="16" spans="1:26" ht="15" customHeight="1" x14ac:dyDescent="0.25">
      <c r="A16" s="131" t="s">
        <v>45</v>
      </c>
      <c r="B16" s="113"/>
      <c r="C16" s="137" t="s">
        <v>46</v>
      </c>
      <c r="D16" s="113"/>
      <c r="E16" s="113"/>
      <c r="F16" s="44" t="s">
        <v>73</v>
      </c>
      <c r="G16" s="101" t="str">
        <f>FormSampel!B15</f>
        <v>HC 28845526 - 1</v>
      </c>
      <c r="H16" s="101"/>
      <c r="I16" s="93">
        <f>FormSampel!C15</f>
        <v>46173</v>
      </c>
      <c r="J16" s="94"/>
    </row>
    <row r="17" spans="1:26" ht="15" customHeight="1" x14ac:dyDescent="0.25">
      <c r="A17" s="40"/>
      <c r="B17" s="42"/>
      <c r="C17" s="41"/>
      <c r="D17" s="41"/>
      <c r="E17" s="41"/>
      <c r="F17" s="44" t="s">
        <v>74</v>
      </c>
      <c r="G17" s="101" t="str">
        <f>FormSampel!B16</f>
        <v>HC 28959376 - 1</v>
      </c>
      <c r="H17" s="101"/>
      <c r="I17" s="93">
        <f>FormSampel!C16</f>
        <v>46203</v>
      </c>
      <c r="J17" s="94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5" t="s">
        <v>75</v>
      </c>
      <c r="G18" s="100" t="str">
        <f>FormSampel!B17</f>
        <v>HC 33253877 - 1</v>
      </c>
      <c r="H18" s="100"/>
      <c r="I18" s="95">
        <f>FormSampel!C17</f>
        <v>46691</v>
      </c>
      <c r="J18" s="96"/>
    </row>
    <row r="19" spans="1:26" x14ac:dyDescent="0.25">
      <c r="A19" s="97" t="s">
        <v>47</v>
      </c>
      <c r="B19" s="98"/>
      <c r="C19" s="98"/>
      <c r="D19" s="98"/>
      <c r="E19" s="98"/>
      <c r="F19" s="98"/>
      <c r="G19" s="98"/>
      <c r="H19" s="98"/>
      <c r="I19" s="98"/>
      <c r="J19" s="99"/>
    </row>
    <row r="20" spans="1:26" ht="26.25" customHeight="1" x14ac:dyDescent="0.25">
      <c r="A20" s="102" t="s">
        <v>48</v>
      </c>
      <c r="B20" s="103"/>
      <c r="C20" s="29">
        <f>FormSampel!G12</f>
        <v>0</v>
      </c>
      <c r="D20" s="30" t="s">
        <v>49</v>
      </c>
      <c r="E20" s="31">
        <v>1000</v>
      </c>
      <c r="F20" s="104" t="s">
        <v>50</v>
      </c>
      <c r="G20" s="103"/>
      <c r="H20" s="105" t="str">
        <f>IF(AND(C21&lt;0.15),"&lt;0.15",C21)</f>
        <v>&lt;0.15</v>
      </c>
      <c r="I20" s="106"/>
      <c r="J20" s="32" t="s">
        <v>51</v>
      </c>
    </row>
    <row r="21" spans="1:26" ht="15.75" customHeight="1" x14ac:dyDescent="0.25">
      <c r="A21" s="33" t="s">
        <v>52</v>
      </c>
      <c r="B21" s="34"/>
      <c r="C21" s="107">
        <f>C20/1000</f>
        <v>0</v>
      </c>
      <c r="D21" s="108"/>
      <c r="E21" s="35"/>
      <c r="F21" s="34"/>
      <c r="G21" s="34"/>
      <c r="H21" s="34"/>
      <c r="I21" s="34"/>
      <c r="J21" s="32"/>
    </row>
    <row r="22" spans="1:26" ht="15.75" customHeight="1" x14ac:dyDescent="0.25">
      <c r="A22" s="109" t="s">
        <v>55</v>
      </c>
      <c r="B22" s="110"/>
      <c r="C22" s="110"/>
      <c r="D22" s="110"/>
      <c r="E22" s="110"/>
      <c r="F22" s="110"/>
      <c r="G22" s="110"/>
      <c r="H22" s="110"/>
      <c r="I22" s="110"/>
      <c r="J22" s="11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02" t="s">
        <v>48</v>
      </c>
      <c r="B23" s="103"/>
      <c r="C23" s="29">
        <f>FormSampel!H12</f>
        <v>0</v>
      </c>
      <c r="D23" s="30" t="s">
        <v>49</v>
      </c>
      <c r="E23" s="36">
        <v>1000</v>
      </c>
      <c r="F23" s="104" t="s">
        <v>50</v>
      </c>
      <c r="G23" s="103"/>
      <c r="H23" s="105" t="str">
        <f>IF(C24&lt;0.15,"&lt;0.15",C24)</f>
        <v>&lt;0.15</v>
      </c>
      <c r="I23" s="106"/>
      <c r="J23" s="32" t="s">
        <v>51</v>
      </c>
    </row>
    <row r="24" spans="1:26" ht="15.75" customHeight="1" x14ac:dyDescent="0.25">
      <c r="A24" s="33" t="s">
        <v>52</v>
      </c>
      <c r="B24" s="34"/>
      <c r="C24" s="107">
        <f>C23/1000</f>
        <v>0</v>
      </c>
      <c r="D24" s="108"/>
      <c r="E24" s="35"/>
      <c r="F24" s="34"/>
      <c r="G24" s="34"/>
      <c r="H24" s="34"/>
      <c r="I24" s="34"/>
      <c r="J24" s="32"/>
    </row>
    <row r="25" spans="1:26" ht="15.75" customHeight="1" x14ac:dyDescent="0.25">
      <c r="A25" s="109" t="s">
        <v>53</v>
      </c>
      <c r="B25" s="110"/>
      <c r="C25" s="110"/>
      <c r="D25" s="110"/>
      <c r="E25" s="110"/>
      <c r="F25" s="110"/>
      <c r="G25" s="110"/>
      <c r="H25" s="110"/>
      <c r="I25" s="110"/>
      <c r="J25" s="11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12" t="s">
        <v>48</v>
      </c>
      <c r="B26" s="113"/>
      <c r="C26" s="29">
        <f>FormSampel!I12</f>
        <v>0</v>
      </c>
      <c r="D26" s="30" t="s">
        <v>49</v>
      </c>
      <c r="E26" s="36">
        <v>1000</v>
      </c>
      <c r="F26" s="114" t="s">
        <v>50</v>
      </c>
      <c r="G26" s="103"/>
      <c r="H26" s="105" t="str">
        <f>IF(AND(C27&lt;0.15),"&lt;0.15",C27)</f>
        <v>&lt;0.15</v>
      </c>
      <c r="I26" s="106"/>
      <c r="J26" s="37" t="s">
        <v>51</v>
      </c>
    </row>
    <row r="27" spans="1:26" ht="15.75" customHeight="1" x14ac:dyDescent="0.25">
      <c r="A27" s="33" t="s">
        <v>52</v>
      </c>
      <c r="B27" s="34"/>
      <c r="C27" s="115">
        <f>C26/1000</f>
        <v>0</v>
      </c>
      <c r="D27" s="116"/>
      <c r="E27" s="35"/>
      <c r="F27" s="34"/>
      <c r="G27" s="34"/>
      <c r="H27" s="34"/>
      <c r="I27" s="34"/>
      <c r="J27" s="32"/>
    </row>
    <row r="28" spans="1:26" ht="15.75" customHeight="1" x14ac:dyDescent="0.25">
      <c r="A28" s="109" t="s">
        <v>54</v>
      </c>
      <c r="B28" s="110"/>
      <c r="C28" s="110"/>
      <c r="D28" s="110"/>
      <c r="E28" s="110"/>
      <c r="F28" s="110"/>
      <c r="G28" s="110"/>
      <c r="H28" s="110"/>
      <c r="I28" s="110"/>
      <c r="J28" s="11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12" t="s">
        <v>48</v>
      </c>
      <c r="B29" s="113"/>
      <c r="C29" s="29">
        <f>FormSampel!J12</f>
        <v>0</v>
      </c>
      <c r="D29" s="30" t="s">
        <v>49</v>
      </c>
      <c r="E29" s="36">
        <v>1000</v>
      </c>
      <c r="F29" s="117" t="s">
        <v>50</v>
      </c>
      <c r="G29" s="113"/>
      <c r="H29" s="105" t="str">
        <f>IF(AND(C30&lt;0.15),"&lt;0.15",C30)</f>
        <v>&lt;0.15</v>
      </c>
      <c r="I29" s="106"/>
      <c r="J29" s="32" t="s">
        <v>51</v>
      </c>
    </row>
    <row r="30" spans="1:26" ht="15.75" customHeight="1" x14ac:dyDescent="0.25">
      <c r="A30" s="33" t="s">
        <v>52</v>
      </c>
      <c r="B30" s="34"/>
      <c r="C30" s="107">
        <f>C29/1000</f>
        <v>0</v>
      </c>
      <c r="D30" s="108"/>
      <c r="E30" s="35"/>
      <c r="F30" s="34"/>
      <c r="G30" s="34"/>
      <c r="H30" s="34"/>
      <c r="I30" s="34"/>
      <c r="J30" s="32"/>
    </row>
    <row r="31" spans="1:26" ht="15.75" customHeight="1" x14ac:dyDescent="0.25">
      <c r="A31" s="150" t="s">
        <v>56</v>
      </c>
      <c r="B31" s="119"/>
      <c r="C31" s="17"/>
      <c r="D31" s="17"/>
      <c r="E31" s="17"/>
      <c r="F31" s="18" t="s">
        <v>57</v>
      </c>
      <c r="G31" s="17"/>
      <c r="H31" s="17"/>
      <c r="I31" s="17"/>
      <c r="J31" s="19"/>
    </row>
    <row r="32" spans="1:26" ht="15.75" customHeight="1" x14ac:dyDescent="0.25">
      <c r="A32" s="20"/>
      <c r="B32" s="151" t="s">
        <v>58</v>
      </c>
      <c r="C32" s="113"/>
      <c r="D32" s="113"/>
      <c r="E32" s="122"/>
      <c r="F32" s="1"/>
      <c r="G32" s="1"/>
      <c r="H32" s="1"/>
      <c r="I32" s="1"/>
      <c r="J32" s="16"/>
    </row>
    <row r="33" spans="1:26" ht="15.75" customHeight="1" x14ac:dyDescent="0.25">
      <c r="A33" s="20"/>
      <c r="B33" s="113"/>
      <c r="C33" s="113"/>
      <c r="D33" s="113"/>
      <c r="E33" s="122"/>
      <c r="F33" s="21"/>
      <c r="G33" s="1"/>
      <c r="H33" s="1"/>
      <c r="I33" s="1"/>
      <c r="J33" s="16"/>
    </row>
    <row r="34" spans="1:26" ht="15.75" customHeight="1" x14ac:dyDescent="0.25">
      <c r="A34" s="22"/>
      <c r="B34" s="151" t="s">
        <v>59</v>
      </c>
      <c r="C34" s="113"/>
      <c r="D34" s="113"/>
      <c r="E34" s="122"/>
      <c r="F34" s="1"/>
      <c r="G34" s="1"/>
      <c r="H34" s="1"/>
      <c r="I34" s="1"/>
      <c r="J34" s="16"/>
    </row>
    <row r="35" spans="1:26" ht="15.75" customHeight="1" x14ac:dyDescent="0.25">
      <c r="A35" s="22"/>
      <c r="B35" s="113"/>
      <c r="C35" s="113"/>
      <c r="D35" s="113"/>
      <c r="E35" s="122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52" t="s">
        <v>60</v>
      </c>
      <c r="B38" s="119"/>
      <c r="C38" s="119"/>
      <c r="D38" s="119"/>
      <c r="E38" s="120"/>
      <c r="F38" s="139" t="str">
        <f>FormSampel!B19</f>
        <v>AMIR / MAISARAH</v>
      </c>
      <c r="G38" s="140"/>
      <c r="H38" s="143">
        <f>FormSampel!B20</f>
        <v>45700</v>
      </c>
      <c r="I38" s="143"/>
      <c r="J38" s="144"/>
    </row>
    <row r="39" spans="1:26" ht="11.25" customHeight="1" x14ac:dyDescent="0.25">
      <c r="A39" s="148"/>
      <c r="B39" s="149"/>
      <c r="C39" s="149"/>
      <c r="D39" s="149"/>
      <c r="E39" s="153"/>
      <c r="F39" s="141"/>
      <c r="G39" s="142"/>
      <c r="H39" s="145"/>
      <c r="I39" s="145"/>
      <c r="J39" s="146"/>
    </row>
    <row r="40" spans="1:26" ht="15.75" customHeight="1" x14ac:dyDescent="0.25">
      <c r="A40" s="147" t="s">
        <v>61</v>
      </c>
      <c r="B40" s="119"/>
      <c r="C40" s="119"/>
      <c r="D40" s="119"/>
      <c r="E40" s="119"/>
      <c r="F40" s="27"/>
      <c r="G40" s="23"/>
      <c r="H40" s="23"/>
      <c r="I40" s="23"/>
      <c r="J40" s="16"/>
    </row>
    <row r="41" spans="1:26" ht="11.25" customHeight="1" x14ac:dyDescent="0.25">
      <c r="A41" s="148"/>
      <c r="B41" s="149"/>
      <c r="C41" s="149"/>
      <c r="D41" s="149"/>
      <c r="E41" s="149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B34:E35"/>
    <mergeCell ref="A38:E39"/>
    <mergeCell ref="F38:G39"/>
    <mergeCell ref="H38:J39"/>
    <mergeCell ref="A40:E41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A16:B16"/>
    <mergeCell ref="C16:E16"/>
    <mergeCell ref="G16:H16"/>
    <mergeCell ref="I16:J16"/>
    <mergeCell ref="G17:H17"/>
    <mergeCell ref="I17:J17"/>
    <mergeCell ref="F14:H14"/>
    <mergeCell ref="I14:J14"/>
    <mergeCell ref="A15:B15"/>
    <mergeCell ref="C15:D15"/>
    <mergeCell ref="G15:H15"/>
    <mergeCell ref="I15:J15"/>
    <mergeCell ref="A12:B12"/>
    <mergeCell ref="C12:D12"/>
    <mergeCell ref="A13:B13"/>
    <mergeCell ref="C13:D13"/>
    <mergeCell ref="A14:B14"/>
    <mergeCell ref="C14:D14"/>
    <mergeCell ref="A9:B9"/>
    <mergeCell ref="C9:D9"/>
    <mergeCell ref="A10:B10"/>
    <mergeCell ref="C10:D10"/>
    <mergeCell ref="A11:B11"/>
    <mergeCell ref="C11:D11"/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</mergeCells>
  <pageMargins left="0.7" right="0.7" top="0.75" bottom="0.75" header="0" footer="0"/>
  <pageSetup paperSize="9" orientation="portrait" r:id="rId1"/>
  <headerFooter>
    <oddHeader>&amp;LPKKK/UAT/003B&amp;R16-Dis-2024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2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3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4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5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6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B58967-CA84-4A06-B720-1CD0FBBE3DF1}">
  <sheetPr codeName="Sheet10"/>
  <dimension ref="A1:Z579"/>
  <sheetViews>
    <sheetView view="pageLayout" zoomScale="112" zoomScaleNormal="100" zoomScalePageLayoutView="112" workbookViewId="0">
      <selection activeCell="A5" sqref="A5:J5"/>
    </sheetView>
  </sheetViews>
  <sheetFormatPr defaultColWidth="14.42578125" defaultRowHeight="15" customHeight="1" x14ac:dyDescent="0.25"/>
  <cols>
    <col min="1" max="1" width="12.85546875" style="39" customWidth="1"/>
    <col min="2" max="2" width="8" style="39" customWidth="1"/>
    <col min="3" max="3" width="11.28515625" style="39" customWidth="1"/>
    <col min="4" max="4" width="6" style="39" customWidth="1"/>
    <col min="5" max="5" width="6.85546875" style="39" customWidth="1"/>
    <col min="6" max="6" width="12.140625" style="39" customWidth="1"/>
    <col min="7" max="7" width="10" style="39" customWidth="1"/>
    <col min="8" max="8" width="8.5703125" style="39" customWidth="1"/>
    <col min="9" max="9" width="4.5703125" style="39" customWidth="1"/>
    <col min="10" max="10" width="6.7109375" style="39" customWidth="1"/>
    <col min="11" max="11" width="8" style="39" customWidth="1"/>
    <col min="12" max="16384" width="14.42578125" style="39"/>
  </cols>
  <sheetData>
    <row r="1" spans="1:26" x14ac:dyDescent="0.25">
      <c r="A1" s="123" t="s">
        <v>0</v>
      </c>
      <c r="B1" s="124"/>
      <c r="C1" s="124"/>
      <c r="D1" s="124"/>
      <c r="E1" s="124"/>
      <c r="F1" s="124"/>
      <c r="G1" s="124"/>
      <c r="H1" s="124"/>
      <c r="I1" s="124"/>
      <c r="J1" s="125"/>
    </row>
    <row r="2" spans="1:26" x14ac:dyDescent="0.25">
      <c r="A2" s="123" t="s">
        <v>1</v>
      </c>
      <c r="B2" s="124"/>
      <c r="C2" s="124"/>
      <c r="D2" s="124"/>
      <c r="E2" s="124"/>
      <c r="F2" s="124"/>
      <c r="G2" s="124"/>
      <c r="H2" s="124"/>
      <c r="I2" s="124"/>
      <c r="J2" s="125"/>
    </row>
    <row r="3" spans="1:26" x14ac:dyDescent="0.25">
      <c r="A3" s="126" t="s">
        <v>2</v>
      </c>
      <c r="B3" s="124"/>
      <c r="C3" s="125"/>
      <c r="D3" s="127">
        <f>FormSampel!F13</f>
        <v>0</v>
      </c>
      <c r="E3" s="124"/>
      <c r="F3" s="124"/>
      <c r="G3" s="124"/>
      <c r="H3" s="124"/>
      <c r="I3" s="124"/>
      <c r="J3" s="125"/>
    </row>
    <row r="4" spans="1:26" x14ac:dyDescent="0.25">
      <c r="A4" s="126" t="s">
        <v>3</v>
      </c>
      <c r="B4" s="124"/>
      <c r="C4" s="125"/>
      <c r="D4" s="127" t="str">
        <f>FormSampel!B2</f>
        <v>120225(2)</v>
      </c>
      <c r="E4" s="124"/>
      <c r="F4" s="124"/>
      <c r="G4" s="124"/>
      <c r="H4" s="124"/>
      <c r="I4" s="124"/>
      <c r="J4" s="125"/>
    </row>
    <row r="5" spans="1:26" ht="15" customHeight="1" x14ac:dyDescent="0.25">
      <c r="A5" s="128" t="s">
        <v>87</v>
      </c>
      <c r="B5" s="124"/>
      <c r="C5" s="124"/>
      <c r="D5" s="124"/>
      <c r="E5" s="124"/>
      <c r="F5" s="124"/>
      <c r="G5" s="124"/>
      <c r="H5" s="124"/>
      <c r="I5" s="124"/>
      <c r="J5" s="125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28" t="s">
        <v>4</v>
      </c>
      <c r="B6" s="124"/>
      <c r="C6" s="124"/>
      <c r="D6" s="124"/>
      <c r="E6" s="124"/>
      <c r="F6" s="124"/>
      <c r="G6" s="124"/>
      <c r="H6" s="124"/>
      <c r="I6" s="124"/>
      <c r="J6" s="125"/>
    </row>
    <row r="7" spans="1:26" ht="30" customHeight="1" x14ac:dyDescent="0.25">
      <c r="A7" s="129" t="s">
        <v>5</v>
      </c>
      <c r="B7" s="119"/>
      <c r="C7" s="130" t="s">
        <v>6</v>
      </c>
      <c r="D7" s="119"/>
      <c r="E7" s="119"/>
      <c r="F7" s="42" t="s">
        <v>7</v>
      </c>
      <c r="G7" s="118" t="s">
        <v>8</v>
      </c>
      <c r="H7" s="119"/>
      <c r="I7" s="119"/>
      <c r="J7" s="120"/>
    </row>
    <row r="8" spans="1:26" ht="15" customHeight="1" x14ac:dyDescent="0.25">
      <c r="A8" s="131" t="s">
        <v>9</v>
      </c>
      <c r="B8" s="113"/>
      <c r="C8" s="132" t="s">
        <v>10</v>
      </c>
      <c r="D8" s="113"/>
      <c r="E8" s="4"/>
      <c r="F8" s="38" t="s">
        <v>11</v>
      </c>
      <c r="G8" s="6" t="s">
        <v>12</v>
      </c>
      <c r="H8" s="6" t="s">
        <v>13</v>
      </c>
      <c r="I8" s="121"/>
      <c r="J8" s="122"/>
    </row>
    <row r="9" spans="1:26" ht="30" customHeight="1" x14ac:dyDescent="0.25">
      <c r="A9" s="133" t="s">
        <v>14</v>
      </c>
      <c r="B9" s="113"/>
      <c r="C9" s="132" t="s">
        <v>15</v>
      </c>
      <c r="D9" s="113"/>
      <c r="E9" s="7"/>
      <c r="F9" s="42" t="s">
        <v>16</v>
      </c>
      <c r="G9" s="8" t="s">
        <v>17</v>
      </c>
      <c r="H9" s="8" t="s">
        <v>18</v>
      </c>
      <c r="I9" s="9"/>
      <c r="J9" s="10"/>
    </row>
    <row r="10" spans="1:26" ht="15" customHeight="1" x14ac:dyDescent="0.25">
      <c r="A10" s="131" t="s">
        <v>19</v>
      </c>
      <c r="B10" s="113"/>
      <c r="C10" s="132" t="s">
        <v>20</v>
      </c>
      <c r="D10" s="113"/>
      <c r="E10" s="7"/>
      <c r="F10" s="42" t="s">
        <v>21</v>
      </c>
      <c r="G10" s="8" t="s">
        <v>22</v>
      </c>
      <c r="H10" s="8" t="s">
        <v>23</v>
      </c>
      <c r="I10" s="11"/>
      <c r="J10" s="10"/>
    </row>
    <row r="11" spans="1:26" ht="30" customHeight="1" x14ac:dyDescent="0.25">
      <c r="A11" s="133" t="s">
        <v>24</v>
      </c>
      <c r="B11" s="113"/>
      <c r="C11" s="136" t="s">
        <v>25</v>
      </c>
      <c r="D11" s="113"/>
      <c r="E11" s="7"/>
      <c r="F11" s="42" t="s">
        <v>26</v>
      </c>
      <c r="G11" s="8" t="s">
        <v>27</v>
      </c>
      <c r="H11" s="8" t="s">
        <v>28</v>
      </c>
      <c r="I11" s="11"/>
      <c r="J11" s="10"/>
    </row>
    <row r="12" spans="1:26" ht="15" customHeight="1" x14ac:dyDescent="0.25">
      <c r="A12" s="131" t="s">
        <v>29</v>
      </c>
      <c r="B12" s="113"/>
      <c r="C12" s="132" t="s">
        <v>30</v>
      </c>
      <c r="D12" s="113"/>
      <c r="E12" s="7"/>
      <c r="F12" s="42" t="s">
        <v>31</v>
      </c>
      <c r="G12" s="8" t="s">
        <v>32</v>
      </c>
      <c r="H12" s="8" t="s">
        <v>33</v>
      </c>
      <c r="I12" s="9"/>
      <c r="J12" s="10"/>
    </row>
    <row r="13" spans="1:26" ht="30" x14ac:dyDescent="0.25">
      <c r="A13" s="131" t="s">
        <v>34</v>
      </c>
      <c r="B13" s="113"/>
      <c r="C13" s="132" t="s">
        <v>35</v>
      </c>
      <c r="D13" s="113"/>
      <c r="E13" s="7"/>
      <c r="F13" s="42" t="s">
        <v>36</v>
      </c>
      <c r="G13" s="8" t="s">
        <v>37</v>
      </c>
      <c r="H13" s="8" t="s">
        <v>38</v>
      </c>
      <c r="I13" s="11"/>
      <c r="J13" s="12"/>
    </row>
    <row r="14" spans="1:26" ht="15" customHeight="1" x14ac:dyDescent="0.25">
      <c r="A14" s="131" t="s">
        <v>39</v>
      </c>
      <c r="B14" s="113"/>
      <c r="C14" s="132" t="s">
        <v>40</v>
      </c>
      <c r="D14" s="113"/>
      <c r="E14" s="7"/>
      <c r="F14" s="134" t="s">
        <v>41</v>
      </c>
      <c r="G14" s="113"/>
      <c r="H14" s="113"/>
      <c r="I14" s="135" t="s">
        <v>42</v>
      </c>
      <c r="J14" s="122"/>
    </row>
    <row r="15" spans="1:26" ht="15" customHeight="1" x14ac:dyDescent="0.25">
      <c r="A15" s="131" t="s">
        <v>43</v>
      </c>
      <c r="B15" s="113"/>
      <c r="C15" s="132" t="s">
        <v>44</v>
      </c>
      <c r="D15" s="113"/>
      <c r="E15" s="7"/>
      <c r="F15" s="43" t="s">
        <v>72</v>
      </c>
      <c r="G15" s="138" t="str">
        <f>FormSampel!B14</f>
        <v>HC 20925173 - 1</v>
      </c>
      <c r="H15" s="138"/>
      <c r="I15" s="93">
        <f>FormSampel!C14</f>
        <v>46356</v>
      </c>
      <c r="J15" s="94"/>
    </row>
    <row r="16" spans="1:26" ht="15" customHeight="1" x14ac:dyDescent="0.25">
      <c r="A16" s="131" t="s">
        <v>45</v>
      </c>
      <c r="B16" s="113"/>
      <c r="C16" s="137" t="s">
        <v>46</v>
      </c>
      <c r="D16" s="113"/>
      <c r="E16" s="113"/>
      <c r="F16" s="44" t="s">
        <v>73</v>
      </c>
      <c r="G16" s="101" t="str">
        <f>FormSampel!B15</f>
        <v>HC 28845526 - 1</v>
      </c>
      <c r="H16" s="101"/>
      <c r="I16" s="93">
        <f>FormSampel!C15</f>
        <v>46173</v>
      </c>
      <c r="J16" s="94"/>
    </row>
    <row r="17" spans="1:26" ht="15" customHeight="1" x14ac:dyDescent="0.25">
      <c r="A17" s="40"/>
      <c r="B17" s="42"/>
      <c r="C17" s="41"/>
      <c r="D17" s="41"/>
      <c r="E17" s="41"/>
      <c r="F17" s="44" t="s">
        <v>74</v>
      </c>
      <c r="G17" s="101" t="str">
        <f>FormSampel!B16</f>
        <v>HC 28959376 - 1</v>
      </c>
      <c r="H17" s="101"/>
      <c r="I17" s="93">
        <f>FormSampel!C16</f>
        <v>46203</v>
      </c>
      <c r="J17" s="94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5" t="s">
        <v>75</v>
      </c>
      <c r="G18" s="100" t="str">
        <f>FormSampel!B17</f>
        <v>HC 33253877 - 1</v>
      </c>
      <c r="H18" s="100"/>
      <c r="I18" s="95">
        <f>FormSampel!C17</f>
        <v>46691</v>
      </c>
      <c r="J18" s="96"/>
    </row>
    <row r="19" spans="1:26" x14ac:dyDescent="0.25">
      <c r="A19" s="97" t="s">
        <v>47</v>
      </c>
      <c r="B19" s="98"/>
      <c r="C19" s="98"/>
      <c r="D19" s="98"/>
      <c r="E19" s="98"/>
      <c r="F19" s="98"/>
      <c r="G19" s="98"/>
      <c r="H19" s="98"/>
      <c r="I19" s="98"/>
      <c r="J19" s="99"/>
    </row>
    <row r="20" spans="1:26" ht="26.25" customHeight="1" x14ac:dyDescent="0.25">
      <c r="A20" s="102" t="s">
        <v>48</v>
      </c>
      <c r="B20" s="103"/>
      <c r="C20" s="29">
        <f>FormSampel!G13</f>
        <v>0</v>
      </c>
      <c r="D20" s="30" t="s">
        <v>49</v>
      </c>
      <c r="E20" s="31">
        <v>1000</v>
      </c>
      <c r="F20" s="104" t="s">
        <v>50</v>
      </c>
      <c r="G20" s="103"/>
      <c r="H20" s="105" t="str">
        <f>IF(AND(C21&lt;0.15),"&lt;0.15",C21)</f>
        <v>&lt;0.15</v>
      </c>
      <c r="I20" s="106"/>
      <c r="J20" s="32" t="s">
        <v>51</v>
      </c>
    </row>
    <row r="21" spans="1:26" ht="15.75" customHeight="1" x14ac:dyDescent="0.25">
      <c r="A21" s="33" t="s">
        <v>52</v>
      </c>
      <c r="B21" s="34"/>
      <c r="C21" s="107">
        <f>C20/1000</f>
        <v>0</v>
      </c>
      <c r="D21" s="108"/>
      <c r="E21" s="35"/>
      <c r="F21" s="34"/>
      <c r="G21" s="34"/>
      <c r="H21" s="34"/>
      <c r="I21" s="34"/>
      <c r="J21" s="32"/>
    </row>
    <row r="22" spans="1:26" ht="15.75" customHeight="1" x14ac:dyDescent="0.25">
      <c r="A22" s="109" t="s">
        <v>55</v>
      </c>
      <c r="B22" s="110"/>
      <c r="C22" s="110"/>
      <c r="D22" s="110"/>
      <c r="E22" s="110"/>
      <c r="F22" s="110"/>
      <c r="G22" s="110"/>
      <c r="H22" s="110"/>
      <c r="I22" s="110"/>
      <c r="J22" s="11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02" t="s">
        <v>48</v>
      </c>
      <c r="B23" s="103"/>
      <c r="C23" s="29">
        <f>FormSampel!H13</f>
        <v>0</v>
      </c>
      <c r="D23" s="30" t="s">
        <v>49</v>
      </c>
      <c r="E23" s="36">
        <v>1000</v>
      </c>
      <c r="F23" s="104" t="s">
        <v>50</v>
      </c>
      <c r="G23" s="103"/>
      <c r="H23" s="105" t="str">
        <f>IF(C24&lt;0.15,"&lt;0.15",C24)</f>
        <v>&lt;0.15</v>
      </c>
      <c r="I23" s="106"/>
      <c r="J23" s="32" t="s">
        <v>51</v>
      </c>
    </row>
    <row r="24" spans="1:26" ht="15.75" customHeight="1" x14ac:dyDescent="0.25">
      <c r="A24" s="33" t="s">
        <v>52</v>
      </c>
      <c r="B24" s="34"/>
      <c r="C24" s="107">
        <f>C23/1000</f>
        <v>0</v>
      </c>
      <c r="D24" s="108"/>
      <c r="E24" s="35"/>
      <c r="F24" s="34"/>
      <c r="G24" s="34"/>
      <c r="H24" s="34"/>
      <c r="I24" s="34"/>
      <c r="J24" s="32"/>
    </row>
    <row r="25" spans="1:26" ht="15.75" customHeight="1" x14ac:dyDescent="0.25">
      <c r="A25" s="109" t="s">
        <v>53</v>
      </c>
      <c r="B25" s="110"/>
      <c r="C25" s="110"/>
      <c r="D25" s="110"/>
      <c r="E25" s="110"/>
      <c r="F25" s="110"/>
      <c r="G25" s="110"/>
      <c r="H25" s="110"/>
      <c r="I25" s="110"/>
      <c r="J25" s="11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12" t="s">
        <v>48</v>
      </c>
      <c r="B26" s="113"/>
      <c r="C26" s="29">
        <f>FormSampel!I13</f>
        <v>0</v>
      </c>
      <c r="D26" s="30" t="s">
        <v>49</v>
      </c>
      <c r="E26" s="36">
        <v>1000</v>
      </c>
      <c r="F26" s="114" t="s">
        <v>50</v>
      </c>
      <c r="G26" s="103"/>
      <c r="H26" s="105" t="str">
        <f>IF(AND(C27&lt;0.15),"&lt;0.15",C27)</f>
        <v>&lt;0.15</v>
      </c>
      <c r="I26" s="106"/>
      <c r="J26" s="37" t="s">
        <v>51</v>
      </c>
    </row>
    <row r="27" spans="1:26" ht="15.75" customHeight="1" x14ac:dyDescent="0.25">
      <c r="A27" s="33" t="s">
        <v>52</v>
      </c>
      <c r="B27" s="34"/>
      <c r="C27" s="115">
        <f>C26/1000</f>
        <v>0</v>
      </c>
      <c r="D27" s="116"/>
      <c r="E27" s="35"/>
      <c r="F27" s="34"/>
      <c r="G27" s="34"/>
      <c r="H27" s="34"/>
      <c r="I27" s="34"/>
      <c r="J27" s="32"/>
    </row>
    <row r="28" spans="1:26" ht="15.75" customHeight="1" x14ac:dyDescent="0.25">
      <c r="A28" s="109" t="s">
        <v>54</v>
      </c>
      <c r="B28" s="110"/>
      <c r="C28" s="110"/>
      <c r="D28" s="110"/>
      <c r="E28" s="110"/>
      <c r="F28" s="110"/>
      <c r="G28" s="110"/>
      <c r="H28" s="110"/>
      <c r="I28" s="110"/>
      <c r="J28" s="11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12" t="s">
        <v>48</v>
      </c>
      <c r="B29" s="113"/>
      <c r="C29" s="29">
        <f>FormSampel!J13</f>
        <v>0</v>
      </c>
      <c r="D29" s="30" t="s">
        <v>49</v>
      </c>
      <c r="E29" s="36">
        <v>1000</v>
      </c>
      <c r="F29" s="117" t="s">
        <v>50</v>
      </c>
      <c r="G29" s="113"/>
      <c r="H29" s="105" t="str">
        <f>IF(AND(C30&lt;0.15),"&lt;0.15",C30)</f>
        <v>&lt;0.15</v>
      </c>
      <c r="I29" s="106"/>
      <c r="J29" s="32" t="s">
        <v>51</v>
      </c>
    </row>
    <row r="30" spans="1:26" ht="15.75" customHeight="1" x14ac:dyDescent="0.25">
      <c r="A30" s="33" t="s">
        <v>52</v>
      </c>
      <c r="B30" s="34"/>
      <c r="C30" s="107">
        <f>C29/1000</f>
        <v>0</v>
      </c>
      <c r="D30" s="108"/>
      <c r="E30" s="35"/>
      <c r="F30" s="34"/>
      <c r="G30" s="34"/>
      <c r="H30" s="34"/>
      <c r="I30" s="34"/>
      <c r="J30" s="32"/>
    </row>
    <row r="31" spans="1:26" ht="15.75" customHeight="1" x14ac:dyDescent="0.25">
      <c r="A31" s="150" t="s">
        <v>56</v>
      </c>
      <c r="B31" s="119"/>
      <c r="C31" s="17"/>
      <c r="D31" s="17"/>
      <c r="E31" s="17"/>
      <c r="F31" s="18" t="s">
        <v>57</v>
      </c>
      <c r="G31" s="17"/>
      <c r="H31" s="17"/>
      <c r="I31" s="17"/>
      <c r="J31" s="19"/>
    </row>
    <row r="32" spans="1:26" ht="15.75" customHeight="1" x14ac:dyDescent="0.25">
      <c r="A32" s="20"/>
      <c r="B32" s="151" t="s">
        <v>58</v>
      </c>
      <c r="C32" s="113"/>
      <c r="D32" s="113"/>
      <c r="E32" s="122"/>
      <c r="F32" s="1"/>
      <c r="G32" s="1"/>
      <c r="H32" s="1"/>
      <c r="I32" s="1"/>
      <c r="J32" s="16"/>
    </row>
    <row r="33" spans="1:26" ht="15.75" customHeight="1" x14ac:dyDescent="0.25">
      <c r="A33" s="20"/>
      <c r="B33" s="113"/>
      <c r="C33" s="113"/>
      <c r="D33" s="113"/>
      <c r="E33" s="122"/>
      <c r="F33" s="21"/>
      <c r="G33" s="1"/>
      <c r="H33" s="1"/>
      <c r="I33" s="1"/>
      <c r="J33" s="16"/>
    </row>
    <row r="34" spans="1:26" ht="15.75" customHeight="1" x14ac:dyDescent="0.25">
      <c r="A34" s="22"/>
      <c r="B34" s="151" t="s">
        <v>59</v>
      </c>
      <c r="C34" s="113"/>
      <c r="D34" s="113"/>
      <c r="E34" s="122"/>
      <c r="F34" s="1"/>
      <c r="G34" s="1"/>
      <c r="H34" s="1"/>
      <c r="I34" s="1"/>
      <c r="J34" s="16"/>
    </row>
    <row r="35" spans="1:26" ht="15.75" customHeight="1" x14ac:dyDescent="0.25">
      <c r="A35" s="22"/>
      <c r="B35" s="113"/>
      <c r="C35" s="113"/>
      <c r="D35" s="113"/>
      <c r="E35" s="122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52" t="s">
        <v>60</v>
      </c>
      <c r="B38" s="119"/>
      <c r="C38" s="119"/>
      <c r="D38" s="119"/>
      <c r="E38" s="120"/>
      <c r="F38" s="139" t="str">
        <f>FormSampel!B19</f>
        <v>AMIR / MAISARAH</v>
      </c>
      <c r="G38" s="140"/>
      <c r="H38" s="143">
        <f>FormSampel!B20</f>
        <v>45700</v>
      </c>
      <c r="I38" s="143"/>
      <c r="J38" s="144"/>
    </row>
    <row r="39" spans="1:26" ht="11.25" customHeight="1" x14ac:dyDescent="0.25">
      <c r="A39" s="148"/>
      <c r="B39" s="149"/>
      <c r="C39" s="149"/>
      <c r="D39" s="149"/>
      <c r="E39" s="153"/>
      <c r="F39" s="141"/>
      <c r="G39" s="142"/>
      <c r="H39" s="145"/>
      <c r="I39" s="145"/>
      <c r="J39" s="146"/>
    </row>
    <row r="40" spans="1:26" ht="15.75" customHeight="1" x14ac:dyDescent="0.25">
      <c r="A40" s="147" t="s">
        <v>61</v>
      </c>
      <c r="B40" s="119"/>
      <c r="C40" s="119"/>
      <c r="D40" s="119"/>
      <c r="E40" s="119"/>
      <c r="F40" s="27"/>
      <c r="G40" s="23"/>
      <c r="H40" s="23"/>
      <c r="I40" s="23"/>
      <c r="J40" s="16"/>
    </row>
    <row r="41" spans="1:26" ht="11.25" customHeight="1" x14ac:dyDescent="0.25">
      <c r="A41" s="148"/>
      <c r="B41" s="149"/>
      <c r="C41" s="149"/>
      <c r="D41" s="149"/>
      <c r="E41" s="149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B34:E35"/>
    <mergeCell ref="A38:E39"/>
    <mergeCell ref="F38:G39"/>
    <mergeCell ref="H38:J39"/>
    <mergeCell ref="A40:E41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A16:B16"/>
    <mergeCell ref="C16:E16"/>
    <mergeCell ref="G16:H16"/>
    <mergeCell ref="I16:J16"/>
    <mergeCell ref="G17:H17"/>
    <mergeCell ref="I17:J17"/>
    <mergeCell ref="F14:H14"/>
    <mergeCell ref="I14:J14"/>
    <mergeCell ref="A15:B15"/>
    <mergeCell ref="C15:D15"/>
    <mergeCell ref="G15:H15"/>
    <mergeCell ref="I15:J15"/>
    <mergeCell ref="A12:B12"/>
    <mergeCell ref="C12:D12"/>
    <mergeCell ref="A13:B13"/>
    <mergeCell ref="C13:D13"/>
    <mergeCell ref="A14:B14"/>
    <mergeCell ref="C14:D14"/>
    <mergeCell ref="A9:B9"/>
    <mergeCell ref="C9:D9"/>
    <mergeCell ref="A10:B10"/>
    <mergeCell ref="C10:D10"/>
    <mergeCell ref="A11:B11"/>
    <mergeCell ref="C11:D11"/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</mergeCells>
  <pageMargins left="0.7" right="0.7" top="0.75" bottom="0.75" header="0" footer="0"/>
  <pageSetup paperSize="9" orientation="portrait" r:id="rId1"/>
  <headerFooter>
    <oddHeader>&amp;LPKKK/UAT/003B&amp;R16-Dis-2024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6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7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8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9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50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248611-4006-4C4F-8C13-7700C0011649}">
  <sheetPr codeName="Sheet11"/>
  <dimension ref="A1:Z579"/>
  <sheetViews>
    <sheetView view="pageLayout" zoomScale="112" zoomScaleNormal="100" zoomScalePageLayoutView="112" workbookViewId="0">
      <selection activeCell="A5" sqref="A5:J5"/>
    </sheetView>
  </sheetViews>
  <sheetFormatPr defaultColWidth="14.42578125" defaultRowHeight="15" customHeight="1" x14ac:dyDescent="0.25"/>
  <cols>
    <col min="1" max="1" width="12.85546875" style="39" customWidth="1"/>
    <col min="2" max="2" width="8" style="39" customWidth="1"/>
    <col min="3" max="3" width="11.28515625" style="39" customWidth="1"/>
    <col min="4" max="4" width="6" style="39" customWidth="1"/>
    <col min="5" max="5" width="6.85546875" style="39" customWidth="1"/>
    <col min="6" max="6" width="12.140625" style="39" customWidth="1"/>
    <col min="7" max="7" width="10" style="39" customWidth="1"/>
    <col min="8" max="8" width="8.5703125" style="39" customWidth="1"/>
    <col min="9" max="9" width="4.5703125" style="39" customWidth="1"/>
    <col min="10" max="10" width="6.7109375" style="39" customWidth="1"/>
    <col min="11" max="11" width="8" style="39" customWidth="1"/>
    <col min="12" max="16384" width="14.42578125" style="39"/>
  </cols>
  <sheetData>
    <row r="1" spans="1:26" x14ac:dyDescent="0.25">
      <c r="A1" s="123" t="s">
        <v>0</v>
      </c>
      <c r="B1" s="124"/>
      <c r="C1" s="124"/>
      <c r="D1" s="124"/>
      <c r="E1" s="124"/>
      <c r="F1" s="124"/>
      <c r="G1" s="124"/>
      <c r="H1" s="124"/>
      <c r="I1" s="124"/>
      <c r="J1" s="125"/>
    </row>
    <row r="2" spans="1:26" x14ac:dyDescent="0.25">
      <c r="A2" s="123" t="s">
        <v>1</v>
      </c>
      <c r="B2" s="124"/>
      <c r="C2" s="124"/>
      <c r="D2" s="124"/>
      <c r="E2" s="124"/>
      <c r="F2" s="124"/>
      <c r="G2" s="124"/>
      <c r="H2" s="124"/>
      <c r="I2" s="124"/>
      <c r="J2" s="125"/>
    </row>
    <row r="3" spans="1:26" x14ac:dyDescent="0.25">
      <c r="A3" s="126" t="s">
        <v>2</v>
      </c>
      <c r="B3" s="124"/>
      <c r="C3" s="125"/>
      <c r="D3" s="127">
        <f>FormSampel!F14</f>
        <v>0</v>
      </c>
      <c r="E3" s="124"/>
      <c r="F3" s="124"/>
      <c r="G3" s="124"/>
      <c r="H3" s="124"/>
      <c r="I3" s="124"/>
      <c r="J3" s="125"/>
    </row>
    <row r="4" spans="1:26" x14ac:dyDescent="0.25">
      <c r="A4" s="126" t="s">
        <v>3</v>
      </c>
      <c r="B4" s="124"/>
      <c r="C4" s="125"/>
      <c r="D4" s="127" t="str">
        <f>FormSampel!B2</f>
        <v>120225(2)</v>
      </c>
      <c r="E4" s="124"/>
      <c r="F4" s="124"/>
      <c r="G4" s="124"/>
      <c r="H4" s="124"/>
      <c r="I4" s="124"/>
      <c r="J4" s="125"/>
    </row>
    <row r="5" spans="1:26" ht="15" customHeight="1" x14ac:dyDescent="0.25">
      <c r="A5" s="128" t="s">
        <v>87</v>
      </c>
      <c r="B5" s="124"/>
      <c r="C5" s="124"/>
      <c r="D5" s="124"/>
      <c r="E5" s="124"/>
      <c r="F5" s="124"/>
      <c r="G5" s="124"/>
      <c r="H5" s="124"/>
      <c r="I5" s="124"/>
      <c r="J5" s="125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28" t="s">
        <v>4</v>
      </c>
      <c r="B6" s="124"/>
      <c r="C6" s="124"/>
      <c r="D6" s="124"/>
      <c r="E6" s="124"/>
      <c r="F6" s="124"/>
      <c r="G6" s="124"/>
      <c r="H6" s="124"/>
      <c r="I6" s="124"/>
      <c r="J6" s="125"/>
    </row>
    <row r="7" spans="1:26" ht="30" customHeight="1" x14ac:dyDescent="0.25">
      <c r="A7" s="129" t="s">
        <v>5</v>
      </c>
      <c r="B7" s="119"/>
      <c r="C7" s="130" t="s">
        <v>6</v>
      </c>
      <c r="D7" s="119"/>
      <c r="E7" s="119"/>
      <c r="F7" s="42" t="s">
        <v>7</v>
      </c>
      <c r="G7" s="118" t="s">
        <v>8</v>
      </c>
      <c r="H7" s="119"/>
      <c r="I7" s="119"/>
      <c r="J7" s="120"/>
    </row>
    <row r="8" spans="1:26" ht="15" customHeight="1" x14ac:dyDescent="0.25">
      <c r="A8" s="131" t="s">
        <v>9</v>
      </c>
      <c r="B8" s="113"/>
      <c r="C8" s="132" t="s">
        <v>10</v>
      </c>
      <c r="D8" s="113"/>
      <c r="E8" s="4"/>
      <c r="F8" s="38" t="s">
        <v>11</v>
      </c>
      <c r="G8" s="6" t="s">
        <v>12</v>
      </c>
      <c r="H8" s="6" t="s">
        <v>13</v>
      </c>
      <c r="I8" s="121"/>
      <c r="J8" s="122"/>
    </row>
    <row r="9" spans="1:26" ht="30" customHeight="1" x14ac:dyDescent="0.25">
      <c r="A9" s="133" t="s">
        <v>14</v>
      </c>
      <c r="B9" s="113"/>
      <c r="C9" s="132" t="s">
        <v>15</v>
      </c>
      <c r="D9" s="113"/>
      <c r="E9" s="7"/>
      <c r="F9" s="42" t="s">
        <v>16</v>
      </c>
      <c r="G9" s="8" t="s">
        <v>17</v>
      </c>
      <c r="H9" s="8" t="s">
        <v>18</v>
      </c>
      <c r="I9" s="9"/>
      <c r="J9" s="10"/>
    </row>
    <row r="10" spans="1:26" ht="15" customHeight="1" x14ac:dyDescent="0.25">
      <c r="A10" s="131" t="s">
        <v>19</v>
      </c>
      <c r="B10" s="113"/>
      <c r="C10" s="132" t="s">
        <v>20</v>
      </c>
      <c r="D10" s="113"/>
      <c r="E10" s="7"/>
      <c r="F10" s="42" t="s">
        <v>21</v>
      </c>
      <c r="G10" s="8" t="s">
        <v>22</v>
      </c>
      <c r="H10" s="8" t="s">
        <v>23</v>
      </c>
      <c r="I10" s="11"/>
      <c r="J10" s="10"/>
    </row>
    <row r="11" spans="1:26" ht="30" customHeight="1" x14ac:dyDescent="0.25">
      <c r="A11" s="133" t="s">
        <v>24</v>
      </c>
      <c r="B11" s="113"/>
      <c r="C11" s="136" t="s">
        <v>25</v>
      </c>
      <c r="D11" s="113"/>
      <c r="E11" s="7"/>
      <c r="F11" s="42" t="s">
        <v>26</v>
      </c>
      <c r="G11" s="8" t="s">
        <v>27</v>
      </c>
      <c r="H11" s="8" t="s">
        <v>28</v>
      </c>
      <c r="I11" s="11"/>
      <c r="J11" s="10"/>
    </row>
    <row r="12" spans="1:26" ht="15" customHeight="1" x14ac:dyDescent="0.25">
      <c r="A12" s="131" t="s">
        <v>29</v>
      </c>
      <c r="B12" s="113"/>
      <c r="C12" s="132" t="s">
        <v>30</v>
      </c>
      <c r="D12" s="113"/>
      <c r="E12" s="7"/>
      <c r="F12" s="42" t="s">
        <v>31</v>
      </c>
      <c r="G12" s="8" t="s">
        <v>32</v>
      </c>
      <c r="H12" s="8" t="s">
        <v>33</v>
      </c>
      <c r="I12" s="9"/>
      <c r="J12" s="10"/>
    </row>
    <row r="13" spans="1:26" ht="30" x14ac:dyDescent="0.25">
      <c r="A13" s="131" t="s">
        <v>34</v>
      </c>
      <c r="B13" s="113"/>
      <c r="C13" s="132" t="s">
        <v>35</v>
      </c>
      <c r="D13" s="113"/>
      <c r="E13" s="7"/>
      <c r="F13" s="42" t="s">
        <v>36</v>
      </c>
      <c r="G13" s="8" t="s">
        <v>37</v>
      </c>
      <c r="H13" s="8" t="s">
        <v>38</v>
      </c>
      <c r="I13" s="11"/>
      <c r="J13" s="12"/>
    </row>
    <row r="14" spans="1:26" ht="15" customHeight="1" x14ac:dyDescent="0.25">
      <c r="A14" s="131" t="s">
        <v>39</v>
      </c>
      <c r="B14" s="113"/>
      <c r="C14" s="132" t="s">
        <v>40</v>
      </c>
      <c r="D14" s="113"/>
      <c r="E14" s="7"/>
      <c r="F14" s="134" t="s">
        <v>41</v>
      </c>
      <c r="G14" s="113"/>
      <c r="H14" s="113"/>
      <c r="I14" s="135" t="s">
        <v>42</v>
      </c>
      <c r="J14" s="122"/>
    </row>
    <row r="15" spans="1:26" ht="15" customHeight="1" x14ac:dyDescent="0.25">
      <c r="A15" s="131" t="s">
        <v>43</v>
      </c>
      <c r="B15" s="113"/>
      <c r="C15" s="132" t="s">
        <v>44</v>
      </c>
      <c r="D15" s="113"/>
      <c r="E15" s="7"/>
      <c r="F15" s="43" t="s">
        <v>72</v>
      </c>
      <c r="G15" s="138" t="str">
        <f>FormSampel!B14</f>
        <v>HC 20925173 - 1</v>
      </c>
      <c r="H15" s="138"/>
      <c r="I15" s="93">
        <f>FormSampel!C14</f>
        <v>46356</v>
      </c>
      <c r="J15" s="94"/>
    </row>
    <row r="16" spans="1:26" ht="15" customHeight="1" x14ac:dyDescent="0.25">
      <c r="A16" s="131" t="s">
        <v>45</v>
      </c>
      <c r="B16" s="113"/>
      <c r="C16" s="137" t="s">
        <v>46</v>
      </c>
      <c r="D16" s="113"/>
      <c r="E16" s="113"/>
      <c r="F16" s="44" t="s">
        <v>73</v>
      </c>
      <c r="G16" s="101" t="str">
        <f>FormSampel!B15</f>
        <v>HC 28845526 - 1</v>
      </c>
      <c r="H16" s="101"/>
      <c r="I16" s="93">
        <f>FormSampel!C15</f>
        <v>46173</v>
      </c>
      <c r="J16" s="94"/>
    </row>
    <row r="17" spans="1:26" ht="15" customHeight="1" x14ac:dyDescent="0.25">
      <c r="A17" s="40"/>
      <c r="B17" s="42"/>
      <c r="C17" s="41"/>
      <c r="D17" s="41"/>
      <c r="E17" s="41"/>
      <c r="F17" s="44" t="s">
        <v>74</v>
      </c>
      <c r="G17" s="101" t="str">
        <f>FormSampel!B16</f>
        <v>HC 28959376 - 1</v>
      </c>
      <c r="H17" s="101"/>
      <c r="I17" s="93">
        <f>FormSampel!C16</f>
        <v>46203</v>
      </c>
      <c r="J17" s="94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5" t="s">
        <v>75</v>
      </c>
      <c r="G18" s="100" t="str">
        <f>FormSampel!B17</f>
        <v>HC 33253877 - 1</v>
      </c>
      <c r="H18" s="100"/>
      <c r="I18" s="95">
        <f>FormSampel!C17</f>
        <v>46691</v>
      </c>
      <c r="J18" s="96"/>
    </row>
    <row r="19" spans="1:26" x14ac:dyDescent="0.25">
      <c r="A19" s="97" t="s">
        <v>47</v>
      </c>
      <c r="B19" s="98"/>
      <c r="C19" s="98"/>
      <c r="D19" s="98"/>
      <c r="E19" s="98"/>
      <c r="F19" s="98"/>
      <c r="G19" s="98"/>
      <c r="H19" s="98"/>
      <c r="I19" s="98"/>
      <c r="J19" s="99"/>
    </row>
    <row r="20" spans="1:26" ht="26.25" customHeight="1" x14ac:dyDescent="0.25">
      <c r="A20" s="102" t="s">
        <v>48</v>
      </c>
      <c r="B20" s="103"/>
      <c r="C20" s="29">
        <f>FormSampel!G14</f>
        <v>0</v>
      </c>
      <c r="D20" s="30" t="s">
        <v>49</v>
      </c>
      <c r="E20" s="31">
        <v>1000</v>
      </c>
      <c r="F20" s="104" t="s">
        <v>50</v>
      </c>
      <c r="G20" s="103"/>
      <c r="H20" s="105" t="str">
        <f>IF(AND(C21&lt;0.15),"&lt;0.15",C21)</f>
        <v>&lt;0.15</v>
      </c>
      <c r="I20" s="106"/>
      <c r="J20" s="32" t="s">
        <v>51</v>
      </c>
    </row>
    <row r="21" spans="1:26" ht="15.75" customHeight="1" x14ac:dyDescent="0.25">
      <c r="A21" s="33" t="s">
        <v>52</v>
      </c>
      <c r="B21" s="34"/>
      <c r="C21" s="107">
        <f>C20/1000</f>
        <v>0</v>
      </c>
      <c r="D21" s="108"/>
      <c r="E21" s="35"/>
      <c r="F21" s="34"/>
      <c r="G21" s="34"/>
      <c r="H21" s="34"/>
      <c r="I21" s="34"/>
      <c r="J21" s="32"/>
    </row>
    <row r="22" spans="1:26" ht="15.75" customHeight="1" x14ac:dyDescent="0.25">
      <c r="A22" s="109" t="s">
        <v>55</v>
      </c>
      <c r="B22" s="110"/>
      <c r="C22" s="110"/>
      <c r="D22" s="110"/>
      <c r="E22" s="110"/>
      <c r="F22" s="110"/>
      <c r="G22" s="110"/>
      <c r="H22" s="110"/>
      <c r="I22" s="110"/>
      <c r="J22" s="11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02" t="s">
        <v>48</v>
      </c>
      <c r="B23" s="103"/>
      <c r="C23" s="29">
        <f>FormSampel!H14</f>
        <v>0</v>
      </c>
      <c r="D23" s="30" t="s">
        <v>49</v>
      </c>
      <c r="E23" s="36">
        <v>1000</v>
      </c>
      <c r="F23" s="104" t="s">
        <v>50</v>
      </c>
      <c r="G23" s="103"/>
      <c r="H23" s="105" t="str">
        <f>IF(C24&lt;0.15,"&lt;0.15",C24)</f>
        <v>&lt;0.15</v>
      </c>
      <c r="I23" s="106"/>
      <c r="J23" s="32" t="s">
        <v>51</v>
      </c>
    </row>
    <row r="24" spans="1:26" ht="15.75" customHeight="1" x14ac:dyDescent="0.25">
      <c r="A24" s="33" t="s">
        <v>52</v>
      </c>
      <c r="B24" s="34"/>
      <c r="C24" s="107">
        <f>C23/1000</f>
        <v>0</v>
      </c>
      <c r="D24" s="108"/>
      <c r="E24" s="35"/>
      <c r="F24" s="34"/>
      <c r="G24" s="34"/>
      <c r="H24" s="34"/>
      <c r="I24" s="34"/>
      <c r="J24" s="32"/>
    </row>
    <row r="25" spans="1:26" ht="15.75" customHeight="1" x14ac:dyDescent="0.25">
      <c r="A25" s="109" t="s">
        <v>53</v>
      </c>
      <c r="B25" s="110"/>
      <c r="C25" s="110"/>
      <c r="D25" s="110"/>
      <c r="E25" s="110"/>
      <c r="F25" s="110"/>
      <c r="G25" s="110"/>
      <c r="H25" s="110"/>
      <c r="I25" s="110"/>
      <c r="J25" s="11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12" t="s">
        <v>48</v>
      </c>
      <c r="B26" s="113"/>
      <c r="C26" s="29">
        <f>FormSampel!I14</f>
        <v>0</v>
      </c>
      <c r="D26" s="30" t="s">
        <v>49</v>
      </c>
      <c r="E26" s="36">
        <v>1000</v>
      </c>
      <c r="F26" s="114" t="s">
        <v>50</v>
      </c>
      <c r="G26" s="103"/>
      <c r="H26" s="105" t="str">
        <f>IF(AND(C27&lt;0.15),"&lt;0.15",C27)</f>
        <v>&lt;0.15</v>
      </c>
      <c r="I26" s="106"/>
      <c r="J26" s="37" t="s">
        <v>51</v>
      </c>
    </row>
    <row r="27" spans="1:26" ht="15.75" customHeight="1" x14ac:dyDescent="0.25">
      <c r="A27" s="33" t="s">
        <v>52</v>
      </c>
      <c r="B27" s="34"/>
      <c r="C27" s="115">
        <f>C26/1000</f>
        <v>0</v>
      </c>
      <c r="D27" s="116"/>
      <c r="E27" s="35"/>
      <c r="F27" s="34"/>
      <c r="G27" s="34"/>
      <c r="H27" s="34"/>
      <c r="I27" s="34"/>
      <c r="J27" s="32"/>
    </row>
    <row r="28" spans="1:26" ht="15.75" customHeight="1" x14ac:dyDescent="0.25">
      <c r="A28" s="109" t="s">
        <v>54</v>
      </c>
      <c r="B28" s="110"/>
      <c r="C28" s="110"/>
      <c r="D28" s="110"/>
      <c r="E28" s="110"/>
      <c r="F28" s="110"/>
      <c r="G28" s="110"/>
      <c r="H28" s="110"/>
      <c r="I28" s="110"/>
      <c r="J28" s="11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12" t="s">
        <v>48</v>
      </c>
      <c r="B29" s="113"/>
      <c r="C29" s="29">
        <f>FormSampel!J14</f>
        <v>0</v>
      </c>
      <c r="D29" s="30" t="s">
        <v>49</v>
      </c>
      <c r="E29" s="36">
        <v>1000</v>
      </c>
      <c r="F29" s="117" t="s">
        <v>50</v>
      </c>
      <c r="G29" s="113"/>
      <c r="H29" s="105" t="str">
        <f>IF(AND(C30&lt;0.15),"&lt;0.15",C30)</f>
        <v>&lt;0.15</v>
      </c>
      <c r="I29" s="106"/>
      <c r="J29" s="32" t="s">
        <v>51</v>
      </c>
    </row>
    <row r="30" spans="1:26" ht="15.75" customHeight="1" x14ac:dyDescent="0.25">
      <c r="A30" s="33" t="s">
        <v>52</v>
      </c>
      <c r="B30" s="34"/>
      <c r="C30" s="107">
        <f>C29/1000</f>
        <v>0</v>
      </c>
      <c r="D30" s="108"/>
      <c r="E30" s="35"/>
      <c r="F30" s="34"/>
      <c r="G30" s="34"/>
      <c r="H30" s="34"/>
      <c r="I30" s="34"/>
      <c r="J30" s="32"/>
    </row>
    <row r="31" spans="1:26" ht="15.75" customHeight="1" x14ac:dyDescent="0.25">
      <c r="A31" s="150" t="s">
        <v>56</v>
      </c>
      <c r="B31" s="119"/>
      <c r="C31" s="17"/>
      <c r="D31" s="17"/>
      <c r="E31" s="17"/>
      <c r="F31" s="18" t="s">
        <v>57</v>
      </c>
      <c r="G31" s="17"/>
      <c r="H31" s="17"/>
      <c r="I31" s="17"/>
      <c r="J31" s="19"/>
    </row>
    <row r="32" spans="1:26" ht="15.75" customHeight="1" x14ac:dyDescent="0.25">
      <c r="A32" s="20"/>
      <c r="B32" s="151" t="s">
        <v>58</v>
      </c>
      <c r="C32" s="113"/>
      <c r="D32" s="113"/>
      <c r="E32" s="122"/>
      <c r="F32" s="1"/>
      <c r="G32" s="1"/>
      <c r="H32" s="1"/>
      <c r="I32" s="1"/>
      <c r="J32" s="16"/>
    </row>
    <row r="33" spans="1:26" ht="15.75" customHeight="1" x14ac:dyDescent="0.25">
      <c r="A33" s="20"/>
      <c r="B33" s="113"/>
      <c r="C33" s="113"/>
      <c r="D33" s="113"/>
      <c r="E33" s="122"/>
      <c r="F33" s="21"/>
      <c r="G33" s="1"/>
      <c r="H33" s="1"/>
      <c r="I33" s="1"/>
      <c r="J33" s="16"/>
    </row>
    <row r="34" spans="1:26" ht="15.75" customHeight="1" x14ac:dyDescent="0.25">
      <c r="A34" s="22"/>
      <c r="B34" s="151" t="s">
        <v>59</v>
      </c>
      <c r="C34" s="113"/>
      <c r="D34" s="113"/>
      <c r="E34" s="122"/>
      <c r="F34" s="1"/>
      <c r="G34" s="1"/>
      <c r="H34" s="1"/>
      <c r="I34" s="1"/>
      <c r="J34" s="16"/>
    </row>
    <row r="35" spans="1:26" ht="15.75" customHeight="1" x14ac:dyDescent="0.25">
      <c r="A35" s="22"/>
      <c r="B35" s="113"/>
      <c r="C35" s="113"/>
      <c r="D35" s="113"/>
      <c r="E35" s="122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52" t="s">
        <v>60</v>
      </c>
      <c r="B38" s="119"/>
      <c r="C38" s="119"/>
      <c r="D38" s="119"/>
      <c r="E38" s="120"/>
      <c r="F38" s="139" t="str">
        <f>FormSampel!B19</f>
        <v>AMIR / MAISARAH</v>
      </c>
      <c r="G38" s="140"/>
      <c r="H38" s="143">
        <f>FormSampel!B20</f>
        <v>45700</v>
      </c>
      <c r="I38" s="143"/>
      <c r="J38" s="144"/>
    </row>
    <row r="39" spans="1:26" ht="11.25" customHeight="1" x14ac:dyDescent="0.25">
      <c r="A39" s="148"/>
      <c r="B39" s="149"/>
      <c r="C39" s="149"/>
      <c r="D39" s="149"/>
      <c r="E39" s="153"/>
      <c r="F39" s="141"/>
      <c r="G39" s="142"/>
      <c r="H39" s="145"/>
      <c r="I39" s="145"/>
      <c r="J39" s="146"/>
    </row>
    <row r="40" spans="1:26" ht="15.75" customHeight="1" x14ac:dyDescent="0.25">
      <c r="A40" s="147" t="s">
        <v>61</v>
      </c>
      <c r="B40" s="119"/>
      <c r="C40" s="119"/>
      <c r="D40" s="119"/>
      <c r="E40" s="119"/>
      <c r="F40" s="27"/>
      <c r="G40" s="23"/>
      <c r="H40" s="23"/>
      <c r="I40" s="23"/>
      <c r="J40" s="16"/>
    </row>
    <row r="41" spans="1:26" ht="11.25" customHeight="1" x14ac:dyDescent="0.25">
      <c r="A41" s="148"/>
      <c r="B41" s="149"/>
      <c r="C41" s="149"/>
      <c r="D41" s="149"/>
      <c r="E41" s="149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B34:E35"/>
    <mergeCell ref="A38:E39"/>
    <mergeCell ref="F38:G39"/>
    <mergeCell ref="H38:J39"/>
    <mergeCell ref="A40:E41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A16:B16"/>
    <mergeCell ref="C16:E16"/>
    <mergeCell ref="G16:H16"/>
    <mergeCell ref="I16:J16"/>
    <mergeCell ref="G17:H17"/>
    <mergeCell ref="I17:J17"/>
    <mergeCell ref="F14:H14"/>
    <mergeCell ref="I14:J14"/>
    <mergeCell ref="A15:B15"/>
    <mergeCell ref="C15:D15"/>
    <mergeCell ref="G15:H15"/>
    <mergeCell ref="I15:J15"/>
    <mergeCell ref="A12:B12"/>
    <mergeCell ref="C12:D12"/>
    <mergeCell ref="A13:B13"/>
    <mergeCell ref="C13:D13"/>
    <mergeCell ref="A14:B14"/>
    <mergeCell ref="C14:D14"/>
    <mergeCell ref="A9:B9"/>
    <mergeCell ref="C9:D9"/>
    <mergeCell ref="A10:B10"/>
    <mergeCell ref="C10:D10"/>
    <mergeCell ref="A11:B11"/>
    <mergeCell ref="C11:D11"/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</mergeCells>
  <pageMargins left="0.7" right="0.7" top="0.75" bottom="0.75" header="0" footer="0"/>
  <pageSetup paperSize="9" orientation="portrait" r:id="rId1"/>
  <headerFooter>
    <oddHeader>&amp;LPKKK/UAT/003B&amp;R16-Dis-2024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0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1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2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3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4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FB0319-335B-4064-A4C9-D287C6465C61}">
  <sheetPr codeName="Sheet12"/>
  <dimension ref="A1:Z579"/>
  <sheetViews>
    <sheetView view="pageLayout" zoomScale="112" zoomScaleNormal="100" zoomScalePageLayoutView="112" workbookViewId="0">
      <selection activeCell="A5" sqref="A5:J5"/>
    </sheetView>
  </sheetViews>
  <sheetFormatPr defaultColWidth="14.42578125" defaultRowHeight="15" customHeight="1" x14ac:dyDescent="0.25"/>
  <cols>
    <col min="1" max="1" width="12.85546875" style="39" customWidth="1"/>
    <col min="2" max="2" width="8" style="39" customWidth="1"/>
    <col min="3" max="3" width="11.28515625" style="39" customWidth="1"/>
    <col min="4" max="4" width="6" style="39" customWidth="1"/>
    <col min="5" max="5" width="6.85546875" style="39" customWidth="1"/>
    <col min="6" max="6" width="12.140625" style="39" customWidth="1"/>
    <col min="7" max="7" width="10" style="39" customWidth="1"/>
    <col min="8" max="8" width="8.5703125" style="39" customWidth="1"/>
    <col min="9" max="9" width="4.5703125" style="39" customWidth="1"/>
    <col min="10" max="10" width="6.7109375" style="39" customWidth="1"/>
    <col min="11" max="11" width="8" style="39" customWidth="1"/>
    <col min="12" max="16384" width="14.42578125" style="39"/>
  </cols>
  <sheetData>
    <row r="1" spans="1:26" x14ac:dyDescent="0.25">
      <c r="A1" s="123" t="s">
        <v>0</v>
      </c>
      <c r="B1" s="124"/>
      <c r="C1" s="124"/>
      <c r="D1" s="124"/>
      <c r="E1" s="124"/>
      <c r="F1" s="124"/>
      <c r="G1" s="124"/>
      <c r="H1" s="124"/>
      <c r="I1" s="124"/>
      <c r="J1" s="125"/>
    </row>
    <row r="2" spans="1:26" x14ac:dyDescent="0.25">
      <c r="A2" s="123" t="s">
        <v>1</v>
      </c>
      <c r="B2" s="124"/>
      <c r="C2" s="124"/>
      <c r="D2" s="124"/>
      <c r="E2" s="124"/>
      <c r="F2" s="124"/>
      <c r="G2" s="124"/>
      <c r="H2" s="124"/>
      <c r="I2" s="124"/>
      <c r="J2" s="125"/>
    </row>
    <row r="3" spans="1:26" x14ac:dyDescent="0.25">
      <c r="A3" s="126" t="s">
        <v>2</v>
      </c>
      <c r="B3" s="124"/>
      <c r="C3" s="125"/>
      <c r="D3" s="127">
        <f>FormSampel!F15</f>
        <v>0</v>
      </c>
      <c r="E3" s="124"/>
      <c r="F3" s="124"/>
      <c r="G3" s="124"/>
      <c r="H3" s="124"/>
      <c r="I3" s="124"/>
      <c r="J3" s="125"/>
    </row>
    <row r="4" spans="1:26" x14ac:dyDescent="0.25">
      <c r="A4" s="126" t="s">
        <v>3</v>
      </c>
      <c r="B4" s="124"/>
      <c r="C4" s="125"/>
      <c r="D4" s="127" t="str">
        <f>FormSampel!B2</f>
        <v>120225(2)</v>
      </c>
      <c r="E4" s="124"/>
      <c r="F4" s="124"/>
      <c r="G4" s="124"/>
      <c r="H4" s="124"/>
      <c r="I4" s="124"/>
      <c r="J4" s="125"/>
    </row>
    <row r="5" spans="1:26" ht="15" customHeight="1" x14ac:dyDescent="0.25">
      <c r="A5" s="128" t="s">
        <v>87</v>
      </c>
      <c r="B5" s="124"/>
      <c r="C5" s="124"/>
      <c r="D5" s="124"/>
      <c r="E5" s="124"/>
      <c r="F5" s="124"/>
      <c r="G5" s="124"/>
      <c r="H5" s="124"/>
      <c r="I5" s="124"/>
      <c r="J5" s="125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28" t="s">
        <v>4</v>
      </c>
      <c r="B6" s="124"/>
      <c r="C6" s="124"/>
      <c r="D6" s="124"/>
      <c r="E6" s="124"/>
      <c r="F6" s="124"/>
      <c r="G6" s="124"/>
      <c r="H6" s="124"/>
      <c r="I6" s="124"/>
      <c r="J6" s="125"/>
    </row>
    <row r="7" spans="1:26" ht="30" customHeight="1" x14ac:dyDescent="0.25">
      <c r="A7" s="129" t="s">
        <v>5</v>
      </c>
      <c r="B7" s="119"/>
      <c r="C7" s="130" t="s">
        <v>6</v>
      </c>
      <c r="D7" s="119"/>
      <c r="E7" s="119"/>
      <c r="F7" s="42" t="s">
        <v>7</v>
      </c>
      <c r="G7" s="118" t="s">
        <v>8</v>
      </c>
      <c r="H7" s="119"/>
      <c r="I7" s="119"/>
      <c r="J7" s="120"/>
    </row>
    <row r="8" spans="1:26" ht="15" customHeight="1" x14ac:dyDescent="0.25">
      <c r="A8" s="131" t="s">
        <v>9</v>
      </c>
      <c r="B8" s="113"/>
      <c r="C8" s="132" t="s">
        <v>10</v>
      </c>
      <c r="D8" s="113"/>
      <c r="E8" s="4"/>
      <c r="F8" s="38" t="s">
        <v>11</v>
      </c>
      <c r="G8" s="6" t="s">
        <v>12</v>
      </c>
      <c r="H8" s="6" t="s">
        <v>13</v>
      </c>
      <c r="I8" s="121"/>
      <c r="J8" s="122"/>
    </row>
    <row r="9" spans="1:26" ht="30" customHeight="1" x14ac:dyDescent="0.25">
      <c r="A9" s="133" t="s">
        <v>14</v>
      </c>
      <c r="B9" s="113"/>
      <c r="C9" s="132" t="s">
        <v>15</v>
      </c>
      <c r="D9" s="113"/>
      <c r="E9" s="7"/>
      <c r="F9" s="42" t="s">
        <v>16</v>
      </c>
      <c r="G9" s="8" t="s">
        <v>17</v>
      </c>
      <c r="H9" s="8" t="s">
        <v>18</v>
      </c>
      <c r="I9" s="9"/>
      <c r="J9" s="10"/>
    </row>
    <row r="10" spans="1:26" ht="15" customHeight="1" x14ac:dyDescent="0.25">
      <c r="A10" s="131" t="s">
        <v>19</v>
      </c>
      <c r="B10" s="113"/>
      <c r="C10" s="132" t="s">
        <v>20</v>
      </c>
      <c r="D10" s="113"/>
      <c r="E10" s="7"/>
      <c r="F10" s="42" t="s">
        <v>21</v>
      </c>
      <c r="G10" s="8" t="s">
        <v>22</v>
      </c>
      <c r="H10" s="8" t="s">
        <v>23</v>
      </c>
      <c r="I10" s="11"/>
      <c r="J10" s="10"/>
    </row>
    <row r="11" spans="1:26" ht="30" customHeight="1" x14ac:dyDescent="0.25">
      <c r="A11" s="133" t="s">
        <v>24</v>
      </c>
      <c r="B11" s="113"/>
      <c r="C11" s="136" t="s">
        <v>25</v>
      </c>
      <c r="D11" s="113"/>
      <c r="E11" s="7"/>
      <c r="F11" s="42" t="s">
        <v>26</v>
      </c>
      <c r="G11" s="8" t="s">
        <v>27</v>
      </c>
      <c r="H11" s="8" t="s">
        <v>28</v>
      </c>
      <c r="I11" s="11"/>
      <c r="J11" s="10"/>
    </row>
    <row r="12" spans="1:26" ht="15" customHeight="1" x14ac:dyDescent="0.25">
      <c r="A12" s="131" t="s">
        <v>29</v>
      </c>
      <c r="B12" s="113"/>
      <c r="C12" s="132" t="s">
        <v>30</v>
      </c>
      <c r="D12" s="113"/>
      <c r="E12" s="7"/>
      <c r="F12" s="42" t="s">
        <v>31</v>
      </c>
      <c r="G12" s="8" t="s">
        <v>32</v>
      </c>
      <c r="H12" s="8" t="s">
        <v>33</v>
      </c>
      <c r="I12" s="9"/>
      <c r="J12" s="10"/>
    </row>
    <row r="13" spans="1:26" ht="30" x14ac:dyDescent="0.25">
      <c r="A13" s="131" t="s">
        <v>34</v>
      </c>
      <c r="B13" s="113"/>
      <c r="C13" s="132" t="s">
        <v>35</v>
      </c>
      <c r="D13" s="113"/>
      <c r="E13" s="7"/>
      <c r="F13" s="42" t="s">
        <v>36</v>
      </c>
      <c r="G13" s="8" t="s">
        <v>37</v>
      </c>
      <c r="H13" s="8" t="s">
        <v>38</v>
      </c>
      <c r="I13" s="11"/>
      <c r="J13" s="12"/>
    </row>
    <row r="14" spans="1:26" ht="15" customHeight="1" x14ac:dyDescent="0.25">
      <c r="A14" s="131" t="s">
        <v>39</v>
      </c>
      <c r="B14" s="113"/>
      <c r="C14" s="132" t="s">
        <v>40</v>
      </c>
      <c r="D14" s="113"/>
      <c r="E14" s="7"/>
      <c r="F14" s="134" t="s">
        <v>41</v>
      </c>
      <c r="G14" s="113"/>
      <c r="H14" s="113"/>
      <c r="I14" s="135" t="s">
        <v>42</v>
      </c>
      <c r="J14" s="122"/>
    </row>
    <row r="15" spans="1:26" ht="15" customHeight="1" x14ac:dyDescent="0.25">
      <c r="A15" s="131" t="s">
        <v>43</v>
      </c>
      <c r="B15" s="113"/>
      <c r="C15" s="132" t="s">
        <v>44</v>
      </c>
      <c r="D15" s="113"/>
      <c r="E15" s="7"/>
      <c r="F15" s="43" t="s">
        <v>72</v>
      </c>
      <c r="G15" s="138" t="str">
        <f>FormSampel!B14</f>
        <v>HC 20925173 - 1</v>
      </c>
      <c r="H15" s="138"/>
      <c r="I15" s="93">
        <f>FormSampel!C14</f>
        <v>46356</v>
      </c>
      <c r="J15" s="94"/>
    </row>
    <row r="16" spans="1:26" ht="15" customHeight="1" x14ac:dyDescent="0.25">
      <c r="A16" s="131" t="s">
        <v>45</v>
      </c>
      <c r="B16" s="113"/>
      <c r="C16" s="137" t="s">
        <v>46</v>
      </c>
      <c r="D16" s="113"/>
      <c r="E16" s="113"/>
      <c r="F16" s="44" t="s">
        <v>73</v>
      </c>
      <c r="G16" s="101" t="str">
        <f>FormSampel!B15</f>
        <v>HC 28845526 - 1</v>
      </c>
      <c r="H16" s="101"/>
      <c r="I16" s="93">
        <f>FormSampel!C15</f>
        <v>46173</v>
      </c>
      <c r="J16" s="94"/>
    </row>
    <row r="17" spans="1:26" ht="15" customHeight="1" x14ac:dyDescent="0.25">
      <c r="A17" s="40"/>
      <c r="B17" s="42"/>
      <c r="C17" s="41"/>
      <c r="D17" s="41"/>
      <c r="E17" s="41"/>
      <c r="F17" s="44" t="s">
        <v>74</v>
      </c>
      <c r="G17" s="101" t="str">
        <f>FormSampel!B16</f>
        <v>HC 28959376 - 1</v>
      </c>
      <c r="H17" s="101"/>
      <c r="I17" s="93">
        <f>FormSampel!C16</f>
        <v>46203</v>
      </c>
      <c r="J17" s="94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5" t="s">
        <v>75</v>
      </c>
      <c r="G18" s="100" t="str">
        <f>FormSampel!B17</f>
        <v>HC 33253877 - 1</v>
      </c>
      <c r="H18" s="100"/>
      <c r="I18" s="95">
        <f>FormSampel!C17</f>
        <v>46691</v>
      </c>
      <c r="J18" s="96"/>
    </row>
    <row r="19" spans="1:26" x14ac:dyDescent="0.25">
      <c r="A19" s="97" t="s">
        <v>47</v>
      </c>
      <c r="B19" s="98"/>
      <c r="C19" s="98"/>
      <c r="D19" s="98"/>
      <c r="E19" s="98"/>
      <c r="F19" s="98"/>
      <c r="G19" s="98"/>
      <c r="H19" s="98"/>
      <c r="I19" s="98"/>
      <c r="J19" s="99"/>
    </row>
    <row r="20" spans="1:26" ht="26.25" customHeight="1" x14ac:dyDescent="0.25">
      <c r="A20" s="102" t="s">
        <v>48</v>
      </c>
      <c r="B20" s="103"/>
      <c r="C20" s="29">
        <f>FormSampel!G15</f>
        <v>0</v>
      </c>
      <c r="D20" s="30" t="s">
        <v>49</v>
      </c>
      <c r="E20" s="31">
        <v>1000</v>
      </c>
      <c r="F20" s="104" t="s">
        <v>50</v>
      </c>
      <c r="G20" s="103"/>
      <c r="H20" s="105" t="str">
        <f>IF(AND(C21&lt;0.15),"&lt;0.15",C21)</f>
        <v>&lt;0.15</v>
      </c>
      <c r="I20" s="106"/>
      <c r="J20" s="32" t="s">
        <v>51</v>
      </c>
    </row>
    <row r="21" spans="1:26" ht="15.75" customHeight="1" x14ac:dyDescent="0.25">
      <c r="A21" s="33" t="s">
        <v>52</v>
      </c>
      <c r="B21" s="34"/>
      <c r="C21" s="107">
        <f>C20/1000</f>
        <v>0</v>
      </c>
      <c r="D21" s="108"/>
      <c r="E21" s="35"/>
      <c r="F21" s="34"/>
      <c r="G21" s="34"/>
      <c r="H21" s="34"/>
      <c r="I21" s="34"/>
      <c r="J21" s="32"/>
    </row>
    <row r="22" spans="1:26" ht="15.75" customHeight="1" x14ac:dyDescent="0.25">
      <c r="A22" s="109" t="s">
        <v>55</v>
      </c>
      <c r="B22" s="110"/>
      <c r="C22" s="110"/>
      <c r="D22" s="110"/>
      <c r="E22" s="110"/>
      <c r="F22" s="110"/>
      <c r="G22" s="110"/>
      <c r="H22" s="110"/>
      <c r="I22" s="110"/>
      <c r="J22" s="11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02" t="s">
        <v>48</v>
      </c>
      <c r="B23" s="103"/>
      <c r="C23" s="29">
        <f>FormSampel!H15</f>
        <v>0</v>
      </c>
      <c r="D23" s="30" t="s">
        <v>49</v>
      </c>
      <c r="E23" s="36">
        <v>1000</v>
      </c>
      <c r="F23" s="104" t="s">
        <v>50</v>
      </c>
      <c r="G23" s="103"/>
      <c r="H23" s="105" t="str">
        <f>IF(C24&lt;0.15,"&lt;0.15",C24)</f>
        <v>&lt;0.15</v>
      </c>
      <c r="I23" s="106"/>
      <c r="J23" s="32" t="s">
        <v>51</v>
      </c>
    </row>
    <row r="24" spans="1:26" ht="15.75" customHeight="1" x14ac:dyDescent="0.25">
      <c r="A24" s="33" t="s">
        <v>52</v>
      </c>
      <c r="B24" s="34"/>
      <c r="C24" s="107">
        <f>C23/1000</f>
        <v>0</v>
      </c>
      <c r="D24" s="108"/>
      <c r="E24" s="35"/>
      <c r="F24" s="34"/>
      <c r="G24" s="34"/>
      <c r="H24" s="34"/>
      <c r="I24" s="34"/>
      <c r="J24" s="32"/>
    </row>
    <row r="25" spans="1:26" ht="15.75" customHeight="1" x14ac:dyDescent="0.25">
      <c r="A25" s="109" t="s">
        <v>53</v>
      </c>
      <c r="B25" s="110"/>
      <c r="C25" s="110"/>
      <c r="D25" s="110"/>
      <c r="E25" s="110"/>
      <c r="F25" s="110"/>
      <c r="G25" s="110"/>
      <c r="H25" s="110"/>
      <c r="I25" s="110"/>
      <c r="J25" s="11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12" t="s">
        <v>48</v>
      </c>
      <c r="B26" s="113"/>
      <c r="C26" s="29">
        <f>FormSampel!I15</f>
        <v>0</v>
      </c>
      <c r="D26" s="30" t="s">
        <v>49</v>
      </c>
      <c r="E26" s="36">
        <v>1000</v>
      </c>
      <c r="F26" s="114" t="s">
        <v>50</v>
      </c>
      <c r="G26" s="103"/>
      <c r="H26" s="105" t="str">
        <f>IF(AND(C27&lt;0.15),"&lt;0.15",C27)</f>
        <v>&lt;0.15</v>
      </c>
      <c r="I26" s="106"/>
      <c r="J26" s="37" t="s">
        <v>51</v>
      </c>
    </row>
    <row r="27" spans="1:26" ht="15.75" customHeight="1" x14ac:dyDescent="0.25">
      <c r="A27" s="33" t="s">
        <v>52</v>
      </c>
      <c r="B27" s="34"/>
      <c r="C27" s="115">
        <f>C26/1000</f>
        <v>0</v>
      </c>
      <c r="D27" s="116"/>
      <c r="E27" s="35"/>
      <c r="F27" s="34"/>
      <c r="G27" s="34"/>
      <c r="H27" s="34"/>
      <c r="I27" s="34"/>
      <c r="J27" s="32"/>
    </row>
    <row r="28" spans="1:26" ht="15.75" customHeight="1" x14ac:dyDescent="0.25">
      <c r="A28" s="109" t="s">
        <v>54</v>
      </c>
      <c r="B28" s="110"/>
      <c r="C28" s="110"/>
      <c r="D28" s="110"/>
      <c r="E28" s="110"/>
      <c r="F28" s="110"/>
      <c r="G28" s="110"/>
      <c r="H28" s="110"/>
      <c r="I28" s="110"/>
      <c r="J28" s="11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12" t="s">
        <v>48</v>
      </c>
      <c r="B29" s="113"/>
      <c r="C29" s="29">
        <f>FormSampel!J15</f>
        <v>0</v>
      </c>
      <c r="D29" s="30" t="s">
        <v>49</v>
      </c>
      <c r="E29" s="36">
        <v>1000</v>
      </c>
      <c r="F29" s="117" t="s">
        <v>50</v>
      </c>
      <c r="G29" s="113"/>
      <c r="H29" s="105" t="str">
        <f>IF(AND(C30&lt;0.15),"&lt;0.15",C30)</f>
        <v>&lt;0.15</v>
      </c>
      <c r="I29" s="106"/>
      <c r="J29" s="32" t="s">
        <v>51</v>
      </c>
    </row>
    <row r="30" spans="1:26" ht="15.75" customHeight="1" x14ac:dyDescent="0.25">
      <c r="A30" s="33" t="s">
        <v>52</v>
      </c>
      <c r="B30" s="34"/>
      <c r="C30" s="107">
        <f>C29/1000</f>
        <v>0</v>
      </c>
      <c r="D30" s="108"/>
      <c r="E30" s="35"/>
      <c r="F30" s="34"/>
      <c r="G30" s="34"/>
      <c r="H30" s="34"/>
      <c r="I30" s="34"/>
      <c r="J30" s="32"/>
    </row>
    <row r="31" spans="1:26" ht="15.75" customHeight="1" x14ac:dyDescent="0.25">
      <c r="A31" s="150" t="s">
        <v>56</v>
      </c>
      <c r="B31" s="119"/>
      <c r="C31" s="17"/>
      <c r="D31" s="17"/>
      <c r="E31" s="17"/>
      <c r="F31" s="18" t="s">
        <v>57</v>
      </c>
      <c r="G31" s="17"/>
      <c r="H31" s="17"/>
      <c r="I31" s="17"/>
      <c r="J31" s="19"/>
    </row>
    <row r="32" spans="1:26" ht="15.75" customHeight="1" x14ac:dyDescent="0.25">
      <c r="A32" s="20"/>
      <c r="B32" s="151" t="s">
        <v>58</v>
      </c>
      <c r="C32" s="113"/>
      <c r="D32" s="113"/>
      <c r="E32" s="122"/>
      <c r="F32" s="1"/>
      <c r="G32" s="1"/>
      <c r="H32" s="1"/>
      <c r="I32" s="1"/>
      <c r="J32" s="16"/>
    </row>
    <row r="33" spans="1:26" ht="15.75" customHeight="1" x14ac:dyDescent="0.25">
      <c r="A33" s="20"/>
      <c r="B33" s="113"/>
      <c r="C33" s="113"/>
      <c r="D33" s="113"/>
      <c r="E33" s="122"/>
      <c r="F33" s="21"/>
      <c r="G33" s="1"/>
      <c r="H33" s="1"/>
      <c r="I33" s="1"/>
      <c r="J33" s="16"/>
    </row>
    <row r="34" spans="1:26" ht="15.75" customHeight="1" x14ac:dyDescent="0.25">
      <c r="A34" s="22"/>
      <c r="B34" s="151" t="s">
        <v>59</v>
      </c>
      <c r="C34" s="113"/>
      <c r="D34" s="113"/>
      <c r="E34" s="122"/>
      <c r="F34" s="1"/>
      <c r="G34" s="1"/>
      <c r="H34" s="1"/>
      <c r="I34" s="1"/>
      <c r="J34" s="16"/>
    </row>
    <row r="35" spans="1:26" ht="15.75" customHeight="1" x14ac:dyDescent="0.25">
      <c r="A35" s="22"/>
      <c r="B35" s="113"/>
      <c r="C35" s="113"/>
      <c r="D35" s="113"/>
      <c r="E35" s="122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52" t="s">
        <v>60</v>
      </c>
      <c r="B38" s="119"/>
      <c r="C38" s="119"/>
      <c r="D38" s="119"/>
      <c r="E38" s="120"/>
      <c r="F38" s="139" t="str">
        <f>FormSampel!B19</f>
        <v>AMIR / MAISARAH</v>
      </c>
      <c r="G38" s="140"/>
      <c r="H38" s="143">
        <f>FormSampel!B20</f>
        <v>45700</v>
      </c>
      <c r="I38" s="143"/>
      <c r="J38" s="144"/>
    </row>
    <row r="39" spans="1:26" ht="11.25" customHeight="1" x14ac:dyDescent="0.25">
      <c r="A39" s="148"/>
      <c r="B39" s="149"/>
      <c r="C39" s="149"/>
      <c r="D39" s="149"/>
      <c r="E39" s="153"/>
      <c r="F39" s="141"/>
      <c r="G39" s="142"/>
      <c r="H39" s="145"/>
      <c r="I39" s="145"/>
      <c r="J39" s="146"/>
    </row>
    <row r="40" spans="1:26" ht="15.75" customHeight="1" x14ac:dyDescent="0.25">
      <c r="A40" s="147" t="s">
        <v>61</v>
      </c>
      <c r="B40" s="119"/>
      <c r="C40" s="119"/>
      <c r="D40" s="119"/>
      <c r="E40" s="119"/>
      <c r="F40" s="27"/>
      <c r="G40" s="23"/>
      <c r="H40" s="23"/>
      <c r="I40" s="23"/>
      <c r="J40" s="16"/>
    </row>
    <row r="41" spans="1:26" ht="11.25" customHeight="1" x14ac:dyDescent="0.25">
      <c r="A41" s="148"/>
      <c r="B41" s="149"/>
      <c r="C41" s="149"/>
      <c r="D41" s="149"/>
      <c r="E41" s="149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B34:E35"/>
    <mergeCell ref="A38:E39"/>
    <mergeCell ref="F38:G39"/>
    <mergeCell ref="H38:J39"/>
    <mergeCell ref="A40:E41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A16:B16"/>
    <mergeCell ref="C16:E16"/>
    <mergeCell ref="G16:H16"/>
    <mergeCell ref="I16:J16"/>
    <mergeCell ref="G17:H17"/>
    <mergeCell ref="I17:J17"/>
    <mergeCell ref="F14:H14"/>
    <mergeCell ref="I14:J14"/>
    <mergeCell ref="A15:B15"/>
    <mergeCell ref="C15:D15"/>
    <mergeCell ref="G15:H15"/>
    <mergeCell ref="I15:J15"/>
    <mergeCell ref="A12:B12"/>
    <mergeCell ref="C12:D12"/>
    <mergeCell ref="A13:B13"/>
    <mergeCell ref="C13:D13"/>
    <mergeCell ref="A14:B14"/>
    <mergeCell ref="C14:D14"/>
    <mergeCell ref="A9:B9"/>
    <mergeCell ref="C9:D9"/>
    <mergeCell ref="A10:B10"/>
    <mergeCell ref="C10:D10"/>
    <mergeCell ref="A11:B11"/>
    <mergeCell ref="C11:D11"/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</mergeCells>
  <pageMargins left="0.7" right="0.7" top="0.75" bottom="0.75" header="0" footer="0"/>
  <pageSetup paperSize="9" orientation="portrait" r:id="rId1"/>
  <headerFooter>
    <oddHeader>&amp;LPKKK/UAT/003B&amp;R16-Dis-2024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3793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4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5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6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7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8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B5BB26-EC83-4DEC-86B3-348CE441E56E}">
  <sheetPr codeName="Sheet13"/>
  <dimension ref="A1:Z579"/>
  <sheetViews>
    <sheetView view="pageLayout" zoomScale="112" zoomScaleNormal="100" zoomScalePageLayoutView="112" workbookViewId="0">
      <selection activeCell="A5" sqref="A5:J5"/>
    </sheetView>
  </sheetViews>
  <sheetFormatPr defaultColWidth="14.42578125" defaultRowHeight="15" customHeight="1" x14ac:dyDescent="0.25"/>
  <cols>
    <col min="1" max="1" width="12.85546875" style="39" customWidth="1"/>
    <col min="2" max="2" width="8" style="39" customWidth="1"/>
    <col min="3" max="3" width="11.28515625" style="39" customWidth="1"/>
    <col min="4" max="4" width="6" style="39" customWidth="1"/>
    <col min="5" max="5" width="6.85546875" style="39" customWidth="1"/>
    <col min="6" max="6" width="12.140625" style="39" customWidth="1"/>
    <col min="7" max="7" width="10" style="39" customWidth="1"/>
    <col min="8" max="8" width="8.5703125" style="39" customWidth="1"/>
    <col min="9" max="9" width="4.5703125" style="39" customWidth="1"/>
    <col min="10" max="10" width="6.7109375" style="39" customWidth="1"/>
    <col min="11" max="11" width="8" style="39" customWidth="1"/>
    <col min="12" max="16384" width="14.42578125" style="39"/>
  </cols>
  <sheetData>
    <row r="1" spans="1:26" x14ac:dyDescent="0.25">
      <c r="A1" s="123" t="s">
        <v>0</v>
      </c>
      <c r="B1" s="124"/>
      <c r="C1" s="124"/>
      <c r="D1" s="124"/>
      <c r="E1" s="124"/>
      <c r="F1" s="124"/>
      <c r="G1" s="124"/>
      <c r="H1" s="124"/>
      <c r="I1" s="124"/>
      <c r="J1" s="125"/>
    </row>
    <row r="2" spans="1:26" x14ac:dyDescent="0.25">
      <c r="A2" s="123" t="s">
        <v>1</v>
      </c>
      <c r="B2" s="124"/>
      <c r="C2" s="124"/>
      <c r="D2" s="124"/>
      <c r="E2" s="124"/>
      <c r="F2" s="124"/>
      <c r="G2" s="124"/>
      <c r="H2" s="124"/>
      <c r="I2" s="124"/>
      <c r="J2" s="125"/>
    </row>
    <row r="3" spans="1:26" x14ac:dyDescent="0.25">
      <c r="A3" s="126" t="s">
        <v>2</v>
      </c>
      <c r="B3" s="124"/>
      <c r="C3" s="125"/>
      <c r="D3" s="127">
        <f>FormSampel!F16</f>
        <v>0</v>
      </c>
      <c r="E3" s="124"/>
      <c r="F3" s="124"/>
      <c r="G3" s="124"/>
      <c r="H3" s="124"/>
      <c r="I3" s="124"/>
      <c r="J3" s="125"/>
    </row>
    <row r="4" spans="1:26" x14ac:dyDescent="0.25">
      <c r="A4" s="126" t="s">
        <v>3</v>
      </c>
      <c r="B4" s="124"/>
      <c r="C4" s="125"/>
      <c r="D4" s="127" t="str">
        <f>FormSampel!B2</f>
        <v>120225(2)</v>
      </c>
      <c r="E4" s="124"/>
      <c r="F4" s="124"/>
      <c r="G4" s="124"/>
      <c r="H4" s="124"/>
      <c r="I4" s="124"/>
      <c r="J4" s="125"/>
    </row>
    <row r="5" spans="1:26" ht="15" customHeight="1" x14ac:dyDescent="0.25">
      <c r="A5" s="128" t="s">
        <v>87</v>
      </c>
      <c r="B5" s="124"/>
      <c r="C5" s="124"/>
      <c r="D5" s="124"/>
      <c r="E5" s="124"/>
      <c r="F5" s="124"/>
      <c r="G5" s="124"/>
      <c r="H5" s="124"/>
      <c r="I5" s="124"/>
      <c r="J5" s="125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28" t="s">
        <v>4</v>
      </c>
      <c r="B6" s="124"/>
      <c r="C6" s="124"/>
      <c r="D6" s="124"/>
      <c r="E6" s="124"/>
      <c r="F6" s="124"/>
      <c r="G6" s="124"/>
      <c r="H6" s="124"/>
      <c r="I6" s="124"/>
      <c r="J6" s="125"/>
    </row>
    <row r="7" spans="1:26" ht="30" customHeight="1" x14ac:dyDescent="0.25">
      <c r="A7" s="129" t="s">
        <v>5</v>
      </c>
      <c r="B7" s="119"/>
      <c r="C7" s="130" t="s">
        <v>6</v>
      </c>
      <c r="D7" s="119"/>
      <c r="E7" s="119"/>
      <c r="F7" s="42" t="s">
        <v>7</v>
      </c>
      <c r="G7" s="118" t="s">
        <v>8</v>
      </c>
      <c r="H7" s="119"/>
      <c r="I7" s="119"/>
      <c r="J7" s="120"/>
    </row>
    <row r="8" spans="1:26" ht="15" customHeight="1" x14ac:dyDescent="0.25">
      <c r="A8" s="131" t="s">
        <v>9</v>
      </c>
      <c r="B8" s="113"/>
      <c r="C8" s="132" t="s">
        <v>10</v>
      </c>
      <c r="D8" s="113"/>
      <c r="E8" s="4"/>
      <c r="F8" s="38" t="s">
        <v>11</v>
      </c>
      <c r="G8" s="6" t="s">
        <v>12</v>
      </c>
      <c r="H8" s="6" t="s">
        <v>13</v>
      </c>
      <c r="I8" s="121"/>
      <c r="J8" s="122"/>
    </row>
    <row r="9" spans="1:26" ht="30" customHeight="1" x14ac:dyDescent="0.25">
      <c r="A9" s="133" t="s">
        <v>14</v>
      </c>
      <c r="B9" s="113"/>
      <c r="C9" s="132" t="s">
        <v>15</v>
      </c>
      <c r="D9" s="113"/>
      <c r="E9" s="7"/>
      <c r="F9" s="42" t="s">
        <v>16</v>
      </c>
      <c r="G9" s="8" t="s">
        <v>17</v>
      </c>
      <c r="H9" s="8" t="s">
        <v>18</v>
      </c>
      <c r="I9" s="9"/>
      <c r="J9" s="10"/>
    </row>
    <row r="10" spans="1:26" ht="15" customHeight="1" x14ac:dyDescent="0.25">
      <c r="A10" s="131" t="s">
        <v>19</v>
      </c>
      <c r="B10" s="113"/>
      <c r="C10" s="132" t="s">
        <v>20</v>
      </c>
      <c r="D10" s="113"/>
      <c r="E10" s="7"/>
      <c r="F10" s="42" t="s">
        <v>21</v>
      </c>
      <c r="G10" s="8" t="s">
        <v>22</v>
      </c>
      <c r="H10" s="8" t="s">
        <v>23</v>
      </c>
      <c r="I10" s="11"/>
      <c r="J10" s="10"/>
    </row>
    <row r="11" spans="1:26" ht="30" customHeight="1" x14ac:dyDescent="0.25">
      <c r="A11" s="133" t="s">
        <v>24</v>
      </c>
      <c r="B11" s="113"/>
      <c r="C11" s="136" t="s">
        <v>25</v>
      </c>
      <c r="D11" s="113"/>
      <c r="E11" s="7"/>
      <c r="F11" s="42" t="s">
        <v>26</v>
      </c>
      <c r="G11" s="8" t="s">
        <v>27</v>
      </c>
      <c r="H11" s="8" t="s">
        <v>28</v>
      </c>
      <c r="I11" s="11"/>
      <c r="J11" s="10"/>
    </row>
    <row r="12" spans="1:26" ht="15" customHeight="1" x14ac:dyDescent="0.25">
      <c r="A12" s="131" t="s">
        <v>29</v>
      </c>
      <c r="B12" s="113"/>
      <c r="C12" s="132" t="s">
        <v>30</v>
      </c>
      <c r="D12" s="113"/>
      <c r="E12" s="7"/>
      <c r="F12" s="42" t="s">
        <v>31</v>
      </c>
      <c r="G12" s="8" t="s">
        <v>32</v>
      </c>
      <c r="H12" s="8" t="s">
        <v>33</v>
      </c>
      <c r="I12" s="9"/>
      <c r="J12" s="10"/>
    </row>
    <row r="13" spans="1:26" ht="30" x14ac:dyDescent="0.25">
      <c r="A13" s="131" t="s">
        <v>34</v>
      </c>
      <c r="B13" s="113"/>
      <c r="C13" s="132" t="s">
        <v>35</v>
      </c>
      <c r="D13" s="113"/>
      <c r="E13" s="7"/>
      <c r="F13" s="42" t="s">
        <v>36</v>
      </c>
      <c r="G13" s="8" t="s">
        <v>37</v>
      </c>
      <c r="H13" s="8" t="s">
        <v>38</v>
      </c>
      <c r="I13" s="11"/>
      <c r="J13" s="12"/>
    </row>
    <row r="14" spans="1:26" ht="15" customHeight="1" x14ac:dyDescent="0.25">
      <c r="A14" s="131" t="s">
        <v>39</v>
      </c>
      <c r="B14" s="113"/>
      <c r="C14" s="132" t="s">
        <v>40</v>
      </c>
      <c r="D14" s="113"/>
      <c r="E14" s="7"/>
      <c r="F14" s="134" t="s">
        <v>41</v>
      </c>
      <c r="G14" s="113"/>
      <c r="H14" s="113"/>
      <c r="I14" s="135" t="s">
        <v>42</v>
      </c>
      <c r="J14" s="122"/>
    </row>
    <row r="15" spans="1:26" ht="15" customHeight="1" x14ac:dyDescent="0.25">
      <c r="A15" s="131" t="s">
        <v>43</v>
      </c>
      <c r="B15" s="113"/>
      <c r="C15" s="132" t="s">
        <v>44</v>
      </c>
      <c r="D15" s="113"/>
      <c r="E15" s="7"/>
      <c r="F15" s="43" t="s">
        <v>72</v>
      </c>
      <c r="G15" s="138" t="str">
        <f>FormSampel!B14</f>
        <v>HC 20925173 - 1</v>
      </c>
      <c r="H15" s="138"/>
      <c r="I15" s="93">
        <f>FormSampel!C14</f>
        <v>46356</v>
      </c>
      <c r="J15" s="94"/>
    </row>
    <row r="16" spans="1:26" ht="15" customHeight="1" x14ac:dyDescent="0.25">
      <c r="A16" s="131" t="s">
        <v>45</v>
      </c>
      <c r="B16" s="113"/>
      <c r="C16" s="137" t="s">
        <v>46</v>
      </c>
      <c r="D16" s="113"/>
      <c r="E16" s="113"/>
      <c r="F16" s="44" t="s">
        <v>73</v>
      </c>
      <c r="G16" s="101" t="str">
        <f>FormSampel!B15</f>
        <v>HC 28845526 - 1</v>
      </c>
      <c r="H16" s="101"/>
      <c r="I16" s="93">
        <f>FormSampel!C15</f>
        <v>46173</v>
      </c>
      <c r="J16" s="94"/>
    </row>
    <row r="17" spans="1:26" ht="15" customHeight="1" x14ac:dyDescent="0.25">
      <c r="A17" s="40"/>
      <c r="B17" s="42"/>
      <c r="C17" s="41"/>
      <c r="D17" s="41"/>
      <c r="E17" s="41"/>
      <c r="F17" s="44" t="s">
        <v>74</v>
      </c>
      <c r="G17" s="101" t="str">
        <f>FormSampel!B16</f>
        <v>HC 28959376 - 1</v>
      </c>
      <c r="H17" s="101"/>
      <c r="I17" s="93">
        <f>FormSampel!C16</f>
        <v>46203</v>
      </c>
      <c r="J17" s="94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5" t="s">
        <v>75</v>
      </c>
      <c r="G18" s="100" t="str">
        <f>FormSampel!B17</f>
        <v>HC 33253877 - 1</v>
      </c>
      <c r="H18" s="100"/>
      <c r="I18" s="95">
        <f>FormSampel!C17</f>
        <v>46691</v>
      </c>
      <c r="J18" s="96"/>
    </row>
    <row r="19" spans="1:26" x14ac:dyDescent="0.25">
      <c r="A19" s="97" t="s">
        <v>47</v>
      </c>
      <c r="B19" s="98"/>
      <c r="C19" s="98"/>
      <c r="D19" s="98"/>
      <c r="E19" s="98"/>
      <c r="F19" s="98"/>
      <c r="G19" s="98"/>
      <c r="H19" s="98"/>
      <c r="I19" s="98"/>
      <c r="J19" s="99"/>
    </row>
    <row r="20" spans="1:26" ht="26.25" customHeight="1" x14ac:dyDescent="0.25">
      <c r="A20" s="102" t="s">
        <v>48</v>
      </c>
      <c r="B20" s="103"/>
      <c r="C20" s="29">
        <f>FormSampel!G16</f>
        <v>0</v>
      </c>
      <c r="D20" s="30" t="s">
        <v>49</v>
      </c>
      <c r="E20" s="31">
        <v>1000</v>
      </c>
      <c r="F20" s="104" t="s">
        <v>50</v>
      </c>
      <c r="G20" s="103"/>
      <c r="H20" s="105" t="str">
        <f>IF(AND(C21&lt;0.15),"&lt;0.15",C21)</f>
        <v>&lt;0.15</v>
      </c>
      <c r="I20" s="106"/>
      <c r="J20" s="32" t="s">
        <v>51</v>
      </c>
    </row>
    <row r="21" spans="1:26" ht="15.75" customHeight="1" x14ac:dyDescent="0.25">
      <c r="A21" s="33" t="s">
        <v>52</v>
      </c>
      <c r="B21" s="34"/>
      <c r="C21" s="107">
        <f>C20/1000</f>
        <v>0</v>
      </c>
      <c r="D21" s="108"/>
      <c r="E21" s="35"/>
      <c r="F21" s="34"/>
      <c r="G21" s="34"/>
      <c r="H21" s="34"/>
      <c r="I21" s="34"/>
      <c r="J21" s="32"/>
    </row>
    <row r="22" spans="1:26" ht="15.75" customHeight="1" x14ac:dyDescent="0.25">
      <c r="A22" s="109" t="s">
        <v>55</v>
      </c>
      <c r="B22" s="110"/>
      <c r="C22" s="110"/>
      <c r="D22" s="110"/>
      <c r="E22" s="110"/>
      <c r="F22" s="110"/>
      <c r="G22" s="110"/>
      <c r="H22" s="110"/>
      <c r="I22" s="110"/>
      <c r="J22" s="11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02" t="s">
        <v>48</v>
      </c>
      <c r="B23" s="103"/>
      <c r="C23" s="29">
        <f>FormSampel!H16</f>
        <v>0</v>
      </c>
      <c r="D23" s="30" t="s">
        <v>49</v>
      </c>
      <c r="E23" s="36">
        <v>1000</v>
      </c>
      <c r="F23" s="104" t="s">
        <v>50</v>
      </c>
      <c r="G23" s="103"/>
      <c r="H23" s="105" t="str">
        <f>IF(C24&lt;0.15,"&lt;0.15",C24)</f>
        <v>&lt;0.15</v>
      </c>
      <c r="I23" s="106"/>
      <c r="J23" s="32" t="s">
        <v>51</v>
      </c>
    </row>
    <row r="24" spans="1:26" ht="15.75" customHeight="1" x14ac:dyDescent="0.25">
      <c r="A24" s="33" t="s">
        <v>52</v>
      </c>
      <c r="B24" s="34"/>
      <c r="C24" s="107">
        <f>C23/1000</f>
        <v>0</v>
      </c>
      <c r="D24" s="108"/>
      <c r="E24" s="35"/>
      <c r="F24" s="34"/>
      <c r="G24" s="34"/>
      <c r="H24" s="34"/>
      <c r="I24" s="34"/>
      <c r="J24" s="32"/>
    </row>
    <row r="25" spans="1:26" ht="15.75" customHeight="1" x14ac:dyDescent="0.25">
      <c r="A25" s="109" t="s">
        <v>53</v>
      </c>
      <c r="B25" s="110"/>
      <c r="C25" s="110"/>
      <c r="D25" s="110"/>
      <c r="E25" s="110"/>
      <c r="F25" s="110"/>
      <c r="G25" s="110"/>
      <c r="H25" s="110"/>
      <c r="I25" s="110"/>
      <c r="J25" s="11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12" t="s">
        <v>48</v>
      </c>
      <c r="B26" s="113"/>
      <c r="C26" s="29">
        <f>FormSampel!I16</f>
        <v>0</v>
      </c>
      <c r="D26" s="30" t="s">
        <v>49</v>
      </c>
      <c r="E26" s="36">
        <v>1000</v>
      </c>
      <c r="F26" s="114" t="s">
        <v>50</v>
      </c>
      <c r="G26" s="103"/>
      <c r="H26" s="105" t="str">
        <f>IF(AND(C27&lt;0.15),"&lt;0.15",C27)</f>
        <v>&lt;0.15</v>
      </c>
      <c r="I26" s="106"/>
      <c r="J26" s="37" t="s">
        <v>51</v>
      </c>
    </row>
    <row r="27" spans="1:26" ht="15.75" customHeight="1" x14ac:dyDescent="0.25">
      <c r="A27" s="33" t="s">
        <v>52</v>
      </c>
      <c r="B27" s="34"/>
      <c r="C27" s="115">
        <f>C26/1000</f>
        <v>0</v>
      </c>
      <c r="D27" s="116"/>
      <c r="E27" s="35"/>
      <c r="F27" s="34"/>
      <c r="G27" s="34"/>
      <c r="H27" s="34"/>
      <c r="I27" s="34"/>
      <c r="J27" s="32"/>
    </row>
    <row r="28" spans="1:26" ht="15.75" customHeight="1" x14ac:dyDescent="0.25">
      <c r="A28" s="109" t="s">
        <v>54</v>
      </c>
      <c r="B28" s="110"/>
      <c r="C28" s="110"/>
      <c r="D28" s="110"/>
      <c r="E28" s="110"/>
      <c r="F28" s="110"/>
      <c r="G28" s="110"/>
      <c r="H28" s="110"/>
      <c r="I28" s="110"/>
      <c r="J28" s="11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12" t="s">
        <v>48</v>
      </c>
      <c r="B29" s="113"/>
      <c r="C29" s="29">
        <f>FormSampel!J16</f>
        <v>0</v>
      </c>
      <c r="D29" s="30" t="s">
        <v>49</v>
      </c>
      <c r="E29" s="36">
        <v>1000</v>
      </c>
      <c r="F29" s="117" t="s">
        <v>50</v>
      </c>
      <c r="G29" s="113"/>
      <c r="H29" s="105" t="str">
        <f>IF(AND(C30&lt;0.15),"&lt;0.15",C30)</f>
        <v>&lt;0.15</v>
      </c>
      <c r="I29" s="106"/>
      <c r="J29" s="32" t="s">
        <v>51</v>
      </c>
    </row>
    <row r="30" spans="1:26" ht="15.75" customHeight="1" x14ac:dyDescent="0.25">
      <c r="A30" s="33" t="s">
        <v>52</v>
      </c>
      <c r="B30" s="34"/>
      <c r="C30" s="107">
        <f>C29/1000</f>
        <v>0</v>
      </c>
      <c r="D30" s="108"/>
      <c r="E30" s="35"/>
      <c r="F30" s="34"/>
      <c r="G30" s="34"/>
      <c r="H30" s="34"/>
      <c r="I30" s="34"/>
      <c r="J30" s="32"/>
    </row>
    <row r="31" spans="1:26" ht="15.75" customHeight="1" x14ac:dyDescent="0.25">
      <c r="A31" s="150" t="s">
        <v>56</v>
      </c>
      <c r="B31" s="119"/>
      <c r="C31" s="17"/>
      <c r="D31" s="17"/>
      <c r="E31" s="17"/>
      <c r="F31" s="18" t="s">
        <v>57</v>
      </c>
      <c r="G31" s="17"/>
      <c r="H31" s="17"/>
      <c r="I31" s="17"/>
      <c r="J31" s="19"/>
    </row>
    <row r="32" spans="1:26" ht="15.75" customHeight="1" x14ac:dyDescent="0.25">
      <c r="A32" s="20"/>
      <c r="B32" s="151" t="s">
        <v>58</v>
      </c>
      <c r="C32" s="113"/>
      <c r="D32" s="113"/>
      <c r="E32" s="122"/>
      <c r="F32" s="1"/>
      <c r="G32" s="1"/>
      <c r="H32" s="1"/>
      <c r="I32" s="1"/>
      <c r="J32" s="16"/>
    </row>
    <row r="33" spans="1:26" ht="15.75" customHeight="1" x14ac:dyDescent="0.25">
      <c r="A33" s="20"/>
      <c r="B33" s="113"/>
      <c r="C33" s="113"/>
      <c r="D33" s="113"/>
      <c r="E33" s="122"/>
      <c r="F33" s="21"/>
      <c r="G33" s="1"/>
      <c r="H33" s="1"/>
      <c r="I33" s="1"/>
      <c r="J33" s="16"/>
    </row>
    <row r="34" spans="1:26" ht="15.75" customHeight="1" x14ac:dyDescent="0.25">
      <c r="A34" s="22"/>
      <c r="B34" s="151" t="s">
        <v>59</v>
      </c>
      <c r="C34" s="113"/>
      <c r="D34" s="113"/>
      <c r="E34" s="122"/>
      <c r="F34" s="1"/>
      <c r="G34" s="1"/>
      <c r="H34" s="1"/>
      <c r="I34" s="1"/>
      <c r="J34" s="16"/>
    </row>
    <row r="35" spans="1:26" ht="15.75" customHeight="1" x14ac:dyDescent="0.25">
      <c r="A35" s="22"/>
      <c r="B35" s="113"/>
      <c r="C35" s="113"/>
      <c r="D35" s="113"/>
      <c r="E35" s="122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52" t="s">
        <v>60</v>
      </c>
      <c r="B38" s="119"/>
      <c r="C38" s="119"/>
      <c r="D38" s="119"/>
      <c r="E38" s="120"/>
      <c r="F38" s="139" t="str">
        <f>FormSampel!B19</f>
        <v>AMIR / MAISARAH</v>
      </c>
      <c r="G38" s="140"/>
      <c r="H38" s="143">
        <f>FormSampel!B20</f>
        <v>45700</v>
      </c>
      <c r="I38" s="143"/>
      <c r="J38" s="144"/>
    </row>
    <row r="39" spans="1:26" ht="11.25" customHeight="1" x14ac:dyDescent="0.25">
      <c r="A39" s="148"/>
      <c r="B39" s="149"/>
      <c r="C39" s="149"/>
      <c r="D39" s="149"/>
      <c r="E39" s="153"/>
      <c r="F39" s="141"/>
      <c r="G39" s="142"/>
      <c r="H39" s="145"/>
      <c r="I39" s="145"/>
      <c r="J39" s="146"/>
    </row>
    <row r="40" spans="1:26" ht="15.75" customHeight="1" x14ac:dyDescent="0.25">
      <c r="A40" s="147" t="s">
        <v>61</v>
      </c>
      <c r="B40" s="119"/>
      <c r="C40" s="119"/>
      <c r="D40" s="119"/>
      <c r="E40" s="119"/>
      <c r="F40" s="27"/>
      <c r="G40" s="23"/>
      <c r="H40" s="23"/>
      <c r="I40" s="23"/>
      <c r="J40" s="16"/>
    </row>
    <row r="41" spans="1:26" ht="11.25" customHeight="1" x14ac:dyDescent="0.25">
      <c r="A41" s="148"/>
      <c r="B41" s="149"/>
      <c r="C41" s="149"/>
      <c r="D41" s="149"/>
      <c r="E41" s="149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B34:E35"/>
    <mergeCell ref="A38:E39"/>
    <mergeCell ref="F38:G39"/>
    <mergeCell ref="H38:J39"/>
    <mergeCell ref="A40:E41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A16:B16"/>
    <mergeCell ref="C16:E16"/>
    <mergeCell ref="G16:H16"/>
    <mergeCell ref="I16:J16"/>
    <mergeCell ref="G17:H17"/>
    <mergeCell ref="I17:J17"/>
    <mergeCell ref="F14:H14"/>
    <mergeCell ref="I14:J14"/>
    <mergeCell ref="A15:B15"/>
    <mergeCell ref="C15:D15"/>
    <mergeCell ref="G15:H15"/>
    <mergeCell ref="I15:J15"/>
    <mergeCell ref="A12:B12"/>
    <mergeCell ref="C12:D12"/>
    <mergeCell ref="A13:B13"/>
    <mergeCell ref="C13:D13"/>
    <mergeCell ref="A14:B14"/>
    <mergeCell ref="C14:D14"/>
    <mergeCell ref="A9:B9"/>
    <mergeCell ref="C9:D9"/>
    <mergeCell ref="A10:B10"/>
    <mergeCell ref="C10:D10"/>
    <mergeCell ref="A11:B11"/>
    <mergeCell ref="C11:D11"/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</mergeCells>
  <pageMargins left="0.7" right="0.7" top="0.75" bottom="0.75" header="0" footer="0"/>
  <pageSetup paperSize="9" orientation="portrait" r:id="rId1"/>
  <headerFooter>
    <oddHeader>&amp;LPKKK/UAT/003B&amp;R16-Dis-2024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4817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18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19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0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1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2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FE72A6-7697-48BC-A7E8-ABC42CACB18C}">
  <sheetPr codeName="Sheet14"/>
  <dimension ref="A1:Z579"/>
  <sheetViews>
    <sheetView view="pageLayout" zoomScale="112" zoomScaleNormal="100" zoomScalePageLayoutView="112" workbookViewId="0">
      <selection activeCell="A5" sqref="A5:J5"/>
    </sheetView>
  </sheetViews>
  <sheetFormatPr defaultColWidth="14.42578125" defaultRowHeight="15" customHeight="1" x14ac:dyDescent="0.25"/>
  <cols>
    <col min="1" max="1" width="12.85546875" style="39" customWidth="1"/>
    <col min="2" max="2" width="8" style="39" customWidth="1"/>
    <col min="3" max="3" width="11.28515625" style="39" customWidth="1"/>
    <col min="4" max="4" width="6" style="39" customWidth="1"/>
    <col min="5" max="5" width="6.85546875" style="39" customWidth="1"/>
    <col min="6" max="6" width="12.140625" style="39" customWidth="1"/>
    <col min="7" max="7" width="10" style="39" customWidth="1"/>
    <col min="8" max="8" width="8.5703125" style="39" customWidth="1"/>
    <col min="9" max="9" width="4.5703125" style="39" customWidth="1"/>
    <col min="10" max="10" width="6.7109375" style="39" customWidth="1"/>
    <col min="11" max="11" width="8" style="39" customWidth="1"/>
    <col min="12" max="16384" width="14.42578125" style="39"/>
  </cols>
  <sheetData>
    <row r="1" spans="1:26" x14ac:dyDescent="0.25">
      <c r="A1" s="123" t="s">
        <v>0</v>
      </c>
      <c r="B1" s="124"/>
      <c r="C1" s="124"/>
      <c r="D1" s="124"/>
      <c r="E1" s="124"/>
      <c r="F1" s="124"/>
      <c r="G1" s="124"/>
      <c r="H1" s="124"/>
      <c r="I1" s="124"/>
      <c r="J1" s="125"/>
    </row>
    <row r="2" spans="1:26" x14ac:dyDescent="0.25">
      <c r="A2" s="123" t="s">
        <v>1</v>
      </c>
      <c r="B2" s="124"/>
      <c r="C2" s="124"/>
      <c r="D2" s="124"/>
      <c r="E2" s="124"/>
      <c r="F2" s="124"/>
      <c r="G2" s="124"/>
      <c r="H2" s="124"/>
      <c r="I2" s="124"/>
      <c r="J2" s="125"/>
    </row>
    <row r="3" spans="1:26" x14ac:dyDescent="0.25">
      <c r="A3" s="126" t="s">
        <v>2</v>
      </c>
      <c r="B3" s="124"/>
      <c r="C3" s="125"/>
      <c r="D3" s="127">
        <f>FormSampel!F17</f>
        <v>0</v>
      </c>
      <c r="E3" s="124"/>
      <c r="F3" s="124"/>
      <c r="G3" s="124"/>
      <c r="H3" s="124"/>
      <c r="I3" s="124"/>
      <c r="J3" s="125"/>
    </row>
    <row r="4" spans="1:26" x14ac:dyDescent="0.25">
      <c r="A4" s="126" t="s">
        <v>3</v>
      </c>
      <c r="B4" s="124"/>
      <c r="C4" s="125"/>
      <c r="D4" s="127" t="str">
        <f>FormSampel!B2</f>
        <v>120225(2)</v>
      </c>
      <c r="E4" s="124"/>
      <c r="F4" s="124"/>
      <c r="G4" s="124"/>
      <c r="H4" s="124"/>
      <c r="I4" s="124"/>
      <c r="J4" s="125"/>
    </row>
    <row r="5" spans="1:26" ht="15" customHeight="1" x14ac:dyDescent="0.25">
      <c r="A5" s="128" t="s">
        <v>87</v>
      </c>
      <c r="B5" s="124"/>
      <c r="C5" s="124"/>
      <c r="D5" s="124"/>
      <c r="E5" s="124"/>
      <c r="F5" s="124"/>
      <c r="G5" s="124"/>
      <c r="H5" s="124"/>
      <c r="I5" s="124"/>
      <c r="J5" s="125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28" t="s">
        <v>4</v>
      </c>
      <c r="B6" s="124"/>
      <c r="C6" s="124"/>
      <c r="D6" s="124"/>
      <c r="E6" s="124"/>
      <c r="F6" s="124"/>
      <c r="G6" s="124"/>
      <c r="H6" s="124"/>
      <c r="I6" s="124"/>
      <c r="J6" s="125"/>
    </row>
    <row r="7" spans="1:26" ht="30" customHeight="1" x14ac:dyDescent="0.25">
      <c r="A7" s="129" t="s">
        <v>5</v>
      </c>
      <c r="B7" s="119"/>
      <c r="C7" s="130" t="s">
        <v>6</v>
      </c>
      <c r="D7" s="119"/>
      <c r="E7" s="119"/>
      <c r="F7" s="42" t="s">
        <v>7</v>
      </c>
      <c r="G7" s="118" t="s">
        <v>8</v>
      </c>
      <c r="H7" s="119"/>
      <c r="I7" s="119"/>
      <c r="J7" s="120"/>
    </row>
    <row r="8" spans="1:26" ht="15" customHeight="1" x14ac:dyDescent="0.25">
      <c r="A8" s="131" t="s">
        <v>9</v>
      </c>
      <c r="B8" s="113"/>
      <c r="C8" s="132" t="s">
        <v>10</v>
      </c>
      <c r="D8" s="113"/>
      <c r="E8" s="4"/>
      <c r="F8" s="38" t="s">
        <v>11</v>
      </c>
      <c r="G8" s="6" t="s">
        <v>12</v>
      </c>
      <c r="H8" s="6" t="s">
        <v>13</v>
      </c>
      <c r="I8" s="121"/>
      <c r="J8" s="122"/>
    </row>
    <row r="9" spans="1:26" ht="30" customHeight="1" x14ac:dyDescent="0.25">
      <c r="A9" s="133" t="s">
        <v>14</v>
      </c>
      <c r="B9" s="113"/>
      <c r="C9" s="132" t="s">
        <v>15</v>
      </c>
      <c r="D9" s="113"/>
      <c r="E9" s="7"/>
      <c r="F9" s="42" t="s">
        <v>16</v>
      </c>
      <c r="G9" s="8" t="s">
        <v>17</v>
      </c>
      <c r="H9" s="8" t="s">
        <v>18</v>
      </c>
      <c r="I9" s="9"/>
      <c r="J9" s="10"/>
    </row>
    <row r="10" spans="1:26" ht="15" customHeight="1" x14ac:dyDescent="0.25">
      <c r="A10" s="131" t="s">
        <v>19</v>
      </c>
      <c r="B10" s="113"/>
      <c r="C10" s="132" t="s">
        <v>20</v>
      </c>
      <c r="D10" s="113"/>
      <c r="E10" s="7"/>
      <c r="F10" s="42" t="s">
        <v>21</v>
      </c>
      <c r="G10" s="8" t="s">
        <v>22</v>
      </c>
      <c r="H10" s="8" t="s">
        <v>23</v>
      </c>
      <c r="I10" s="11"/>
      <c r="J10" s="10"/>
    </row>
    <row r="11" spans="1:26" ht="30" customHeight="1" x14ac:dyDescent="0.25">
      <c r="A11" s="133" t="s">
        <v>24</v>
      </c>
      <c r="B11" s="113"/>
      <c r="C11" s="136" t="s">
        <v>25</v>
      </c>
      <c r="D11" s="113"/>
      <c r="E11" s="7"/>
      <c r="F11" s="42" t="s">
        <v>26</v>
      </c>
      <c r="G11" s="8" t="s">
        <v>27</v>
      </c>
      <c r="H11" s="8" t="s">
        <v>28</v>
      </c>
      <c r="I11" s="11"/>
      <c r="J11" s="10"/>
    </row>
    <row r="12" spans="1:26" ht="15" customHeight="1" x14ac:dyDescent="0.25">
      <c r="A12" s="131" t="s">
        <v>29</v>
      </c>
      <c r="B12" s="113"/>
      <c r="C12" s="132" t="s">
        <v>30</v>
      </c>
      <c r="D12" s="113"/>
      <c r="E12" s="7"/>
      <c r="F12" s="42" t="s">
        <v>31</v>
      </c>
      <c r="G12" s="8" t="s">
        <v>32</v>
      </c>
      <c r="H12" s="8" t="s">
        <v>33</v>
      </c>
      <c r="I12" s="9"/>
      <c r="J12" s="10"/>
    </row>
    <row r="13" spans="1:26" ht="30" x14ac:dyDescent="0.25">
      <c r="A13" s="131" t="s">
        <v>34</v>
      </c>
      <c r="B13" s="113"/>
      <c r="C13" s="132" t="s">
        <v>35</v>
      </c>
      <c r="D13" s="113"/>
      <c r="E13" s="7"/>
      <c r="F13" s="42" t="s">
        <v>36</v>
      </c>
      <c r="G13" s="8" t="s">
        <v>37</v>
      </c>
      <c r="H13" s="8" t="s">
        <v>38</v>
      </c>
      <c r="I13" s="11"/>
      <c r="J13" s="12"/>
    </row>
    <row r="14" spans="1:26" ht="15" customHeight="1" x14ac:dyDescent="0.25">
      <c r="A14" s="131" t="s">
        <v>39</v>
      </c>
      <c r="B14" s="113"/>
      <c r="C14" s="132" t="s">
        <v>40</v>
      </c>
      <c r="D14" s="113"/>
      <c r="E14" s="7"/>
      <c r="F14" s="134" t="s">
        <v>41</v>
      </c>
      <c r="G14" s="113"/>
      <c r="H14" s="113"/>
      <c r="I14" s="135" t="s">
        <v>42</v>
      </c>
      <c r="J14" s="122"/>
    </row>
    <row r="15" spans="1:26" ht="15" customHeight="1" x14ac:dyDescent="0.25">
      <c r="A15" s="131" t="s">
        <v>43</v>
      </c>
      <c r="B15" s="113"/>
      <c r="C15" s="132" t="s">
        <v>44</v>
      </c>
      <c r="D15" s="113"/>
      <c r="E15" s="7"/>
      <c r="F15" s="43" t="s">
        <v>72</v>
      </c>
      <c r="G15" s="138" t="str">
        <f>FormSampel!B14</f>
        <v>HC 20925173 - 1</v>
      </c>
      <c r="H15" s="138"/>
      <c r="I15" s="93">
        <f>FormSampel!C14</f>
        <v>46356</v>
      </c>
      <c r="J15" s="94"/>
    </row>
    <row r="16" spans="1:26" ht="15" customHeight="1" x14ac:dyDescent="0.25">
      <c r="A16" s="131" t="s">
        <v>45</v>
      </c>
      <c r="B16" s="113"/>
      <c r="C16" s="137" t="s">
        <v>46</v>
      </c>
      <c r="D16" s="113"/>
      <c r="E16" s="113"/>
      <c r="F16" s="44" t="s">
        <v>73</v>
      </c>
      <c r="G16" s="101" t="str">
        <f>FormSampel!B15</f>
        <v>HC 28845526 - 1</v>
      </c>
      <c r="H16" s="101"/>
      <c r="I16" s="93">
        <f>FormSampel!C15</f>
        <v>46173</v>
      </c>
      <c r="J16" s="94"/>
    </row>
    <row r="17" spans="1:26" ht="15" customHeight="1" x14ac:dyDescent="0.25">
      <c r="A17" s="40"/>
      <c r="B17" s="42"/>
      <c r="C17" s="41"/>
      <c r="D17" s="41"/>
      <c r="E17" s="41"/>
      <c r="F17" s="44" t="s">
        <v>74</v>
      </c>
      <c r="G17" s="101" t="str">
        <f>FormSampel!B16</f>
        <v>HC 28959376 - 1</v>
      </c>
      <c r="H17" s="101"/>
      <c r="I17" s="93">
        <f>FormSampel!C16</f>
        <v>46203</v>
      </c>
      <c r="J17" s="94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5" t="s">
        <v>75</v>
      </c>
      <c r="G18" s="100" t="str">
        <f>FormSampel!B17</f>
        <v>HC 33253877 - 1</v>
      </c>
      <c r="H18" s="100"/>
      <c r="I18" s="95">
        <f>FormSampel!C17</f>
        <v>46691</v>
      </c>
      <c r="J18" s="96"/>
    </row>
    <row r="19" spans="1:26" x14ac:dyDescent="0.25">
      <c r="A19" s="97" t="s">
        <v>47</v>
      </c>
      <c r="B19" s="98"/>
      <c r="C19" s="98"/>
      <c r="D19" s="98"/>
      <c r="E19" s="98"/>
      <c r="F19" s="98"/>
      <c r="G19" s="98"/>
      <c r="H19" s="98"/>
      <c r="I19" s="98"/>
      <c r="J19" s="99"/>
    </row>
    <row r="20" spans="1:26" ht="26.25" customHeight="1" x14ac:dyDescent="0.25">
      <c r="A20" s="102" t="s">
        <v>48</v>
      </c>
      <c r="B20" s="103"/>
      <c r="C20" s="29">
        <f>FormSampel!G17</f>
        <v>0</v>
      </c>
      <c r="D20" s="30" t="s">
        <v>49</v>
      </c>
      <c r="E20" s="31">
        <v>1000</v>
      </c>
      <c r="F20" s="104" t="s">
        <v>50</v>
      </c>
      <c r="G20" s="103"/>
      <c r="H20" s="105" t="str">
        <f>IF(AND(C21&lt;0.15),"&lt;0.15",C21)</f>
        <v>&lt;0.15</v>
      </c>
      <c r="I20" s="106"/>
      <c r="J20" s="32" t="s">
        <v>51</v>
      </c>
    </row>
    <row r="21" spans="1:26" ht="15.75" customHeight="1" x14ac:dyDescent="0.25">
      <c r="A21" s="33" t="s">
        <v>52</v>
      </c>
      <c r="B21" s="34"/>
      <c r="C21" s="107">
        <f>C20/1000</f>
        <v>0</v>
      </c>
      <c r="D21" s="108"/>
      <c r="E21" s="35"/>
      <c r="F21" s="34"/>
      <c r="G21" s="34"/>
      <c r="H21" s="34"/>
      <c r="I21" s="34"/>
      <c r="J21" s="32"/>
    </row>
    <row r="22" spans="1:26" ht="15.75" customHeight="1" x14ac:dyDescent="0.25">
      <c r="A22" s="109" t="s">
        <v>55</v>
      </c>
      <c r="B22" s="110"/>
      <c r="C22" s="110"/>
      <c r="D22" s="110"/>
      <c r="E22" s="110"/>
      <c r="F22" s="110"/>
      <c r="G22" s="110"/>
      <c r="H22" s="110"/>
      <c r="I22" s="110"/>
      <c r="J22" s="11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02" t="s">
        <v>48</v>
      </c>
      <c r="B23" s="103"/>
      <c r="C23" s="29">
        <f>FormSampel!H17</f>
        <v>0</v>
      </c>
      <c r="D23" s="30" t="s">
        <v>49</v>
      </c>
      <c r="E23" s="36">
        <v>1000</v>
      </c>
      <c r="F23" s="104" t="s">
        <v>50</v>
      </c>
      <c r="G23" s="103"/>
      <c r="H23" s="105" t="str">
        <f>IF(C24&lt;0.15,"&lt;0.15",C24)</f>
        <v>&lt;0.15</v>
      </c>
      <c r="I23" s="106"/>
      <c r="J23" s="32" t="s">
        <v>51</v>
      </c>
    </row>
    <row r="24" spans="1:26" ht="15.75" customHeight="1" x14ac:dyDescent="0.25">
      <c r="A24" s="33" t="s">
        <v>52</v>
      </c>
      <c r="B24" s="34"/>
      <c r="C24" s="107">
        <f>C23/1000</f>
        <v>0</v>
      </c>
      <c r="D24" s="108"/>
      <c r="E24" s="35"/>
      <c r="F24" s="34"/>
      <c r="G24" s="34"/>
      <c r="H24" s="34"/>
      <c r="I24" s="34"/>
      <c r="J24" s="32"/>
    </row>
    <row r="25" spans="1:26" ht="15.75" customHeight="1" x14ac:dyDescent="0.25">
      <c r="A25" s="109" t="s">
        <v>53</v>
      </c>
      <c r="B25" s="110"/>
      <c r="C25" s="110"/>
      <c r="D25" s="110"/>
      <c r="E25" s="110"/>
      <c r="F25" s="110"/>
      <c r="G25" s="110"/>
      <c r="H25" s="110"/>
      <c r="I25" s="110"/>
      <c r="J25" s="11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12" t="s">
        <v>48</v>
      </c>
      <c r="B26" s="113"/>
      <c r="C26" s="29">
        <f>FormSampel!I17</f>
        <v>0</v>
      </c>
      <c r="D26" s="30" t="s">
        <v>49</v>
      </c>
      <c r="E26" s="36">
        <v>1000</v>
      </c>
      <c r="F26" s="114" t="s">
        <v>50</v>
      </c>
      <c r="G26" s="103"/>
      <c r="H26" s="105" t="str">
        <f>IF(AND(C27&lt;0.15),"&lt;0.15",C27)</f>
        <v>&lt;0.15</v>
      </c>
      <c r="I26" s="106"/>
      <c r="J26" s="37" t="s">
        <v>51</v>
      </c>
    </row>
    <row r="27" spans="1:26" ht="15.75" customHeight="1" x14ac:dyDescent="0.25">
      <c r="A27" s="33" t="s">
        <v>52</v>
      </c>
      <c r="B27" s="34"/>
      <c r="C27" s="115">
        <f>C26/1000</f>
        <v>0</v>
      </c>
      <c r="D27" s="116"/>
      <c r="E27" s="35"/>
      <c r="F27" s="34"/>
      <c r="G27" s="34"/>
      <c r="H27" s="34"/>
      <c r="I27" s="34"/>
      <c r="J27" s="32"/>
    </row>
    <row r="28" spans="1:26" ht="15.75" customHeight="1" x14ac:dyDescent="0.25">
      <c r="A28" s="109" t="s">
        <v>54</v>
      </c>
      <c r="B28" s="110"/>
      <c r="C28" s="110"/>
      <c r="D28" s="110"/>
      <c r="E28" s="110"/>
      <c r="F28" s="110"/>
      <c r="G28" s="110"/>
      <c r="H28" s="110"/>
      <c r="I28" s="110"/>
      <c r="J28" s="11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12" t="s">
        <v>48</v>
      </c>
      <c r="B29" s="113"/>
      <c r="C29" s="29">
        <f>FormSampel!J17</f>
        <v>0</v>
      </c>
      <c r="D29" s="30" t="s">
        <v>49</v>
      </c>
      <c r="E29" s="36">
        <v>1000</v>
      </c>
      <c r="F29" s="117" t="s">
        <v>50</v>
      </c>
      <c r="G29" s="113"/>
      <c r="H29" s="105" t="str">
        <f>IF(AND(C30&lt;0.15),"&lt;0.15",C30)</f>
        <v>&lt;0.15</v>
      </c>
      <c r="I29" s="106"/>
      <c r="J29" s="32" t="s">
        <v>51</v>
      </c>
    </row>
    <row r="30" spans="1:26" ht="15.75" customHeight="1" x14ac:dyDescent="0.25">
      <c r="A30" s="33" t="s">
        <v>52</v>
      </c>
      <c r="B30" s="34"/>
      <c r="C30" s="107">
        <f>C29/1000</f>
        <v>0</v>
      </c>
      <c r="D30" s="108"/>
      <c r="E30" s="35"/>
      <c r="F30" s="34"/>
      <c r="G30" s="34"/>
      <c r="H30" s="34"/>
      <c r="I30" s="34"/>
      <c r="J30" s="32"/>
    </row>
    <row r="31" spans="1:26" ht="15.75" customHeight="1" x14ac:dyDescent="0.25">
      <c r="A31" s="150" t="s">
        <v>56</v>
      </c>
      <c r="B31" s="119"/>
      <c r="C31" s="17"/>
      <c r="D31" s="17"/>
      <c r="E31" s="17"/>
      <c r="F31" s="18" t="s">
        <v>57</v>
      </c>
      <c r="G31" s="17"/>
      <c r="H31" s="17"/>
      <c r="I31" s="17"/>
      <c r="J31" s="19"/>
    </row>
    <row r="32" spans="1:26" ht="15.75" customHeight="1" x14ac:dyDescent="0.25">
      <c r="A32" s="20"/>
      <c r="B32" s="151" t="s">
        <v>58</v>
      </c>
      <c r="C32" s="113"/>
      <c r="D32" s="113"/>
      <c r="E32" s="122"/>
      <c r="F32" s="1"/>
      <c r="G32" s="1"/>
      <c r="H32" s="1"/>
      <c r="I32" s="1"/>
      <c r="J32" s="16"/>
    </row>
    <row r="33" spans="1:26" ht="15.75" customHeight="1" x14ac:dyDescent="0.25">
      <c r="A33" s="20"/>
      <c r="B33" s="113"/>
      <c r="C33" s="113"/>
      <c r="D33" s="113"/>
      <c r="E33" s="122"/>
      <c r="F33" s="21"/>
      <c r="G33" s="1"/>
      <c r="H33" s="1"/>
      <c r="I33" s="1"/>
      <c r="J33" s="16"/>
    </row>
    <row r="34" spans="1:26" ht="15.75" customHeight="1" x14ac:dyDescent="0.25">
      <c r="A34" s="22"/>
      <c r="B34" s="151" t="s">
        <v>59</v>
      </c>
      <c r="C34" s="113"/>
      <c r="D34" s="113"/>
      <c r="E34" s="122"/>
      <c r="F34" s="1"/>
      <c r="G34" s="1"/>
      <c r="H34" s="1"/>
      <c r="I34" s="1"/>
      <c r="J34" s="16"/>
    </row>
    <row r="35" spans="1:26" ht="15.75" customHeight="1" x14ac:dyDescent="0.25">
      <c r="A35" s="22"/>
      <c r="B35" s="113"/>
      <c r="C35" s="113"/>
      <c r="D35" s="113"/>
      <c r="E35" s="122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52" t="s">
        <v>60</v>
      </c>
      <c r="B38" s="119"/>
      <c r="C38" s="119"/>
      <c r="D38" s="119"/>
      <c r="E38" s="120"/>
      <c r="F38" s="139" t="str">
        <f>FormSampel!B19</f>
        <v>AMIR / MAISARAH</v>
      </c>
      <c r="G38" s="140"/>
      <c r="H38" s="143">
        <f>FormSampel!B20</f>
        <v>45700</v>
      </c>
      <c r="I38" s="143"/>
      <c r="J38" s="144"/>
    </row>
    <row r="39" spans="1:26" ht="11.25" customHeight="1" x14ac:dyDescent="0.25">
      <c r="A39" s="148"/>
      <c r="B39" s="149"/>
      <c r="C39" s="149"/>
      <c r="D39" s="149"/>
      <c r="E39" s="153"/>
      <c r="F39" s="141"/>
      <c r="G39" s="142"/>
      <c r="H39" s="145"/>
      <c r="I39" s="145"/>
      <c r="J39" s="146"/>
    </row>
    <row r="40" spans="1:26" ht="15.75" customHeight="1" x14ac:dyDescent="0.25">
      <c r="A40" s="147" t="s">
        <v>61</v>
      </c>
      <c r="B40" s="119"/>
      <c r="C40" s="119"/>
      <c r="D40" s="119"/>
      <c r="E40" s="119"/>
      <c r="F40" s="27"/>
      <c r="G40" s="23"/>
      <c r="H40" s="23"/>
      <c r="I40" s="23"/>
      <c r="J40" s="16"/>
    </row>
    <row r="41" spans="1:26" ht="11.25" customHeight="1" x14ac:dyDescent="0.25">
      <c r="A41" s="148"/>
      <c r="B41" s="149"/>
      <c r="C41" s="149"/>
      <c r="D41" s="149"/>
      <c r="E41" s="149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B34:E35"/>
    <mergeCell ref="A38:E39"/>
    <mergeCell ref="F38:G39"/>
    <mergeCell ref="H38:J39"/>
    <mergeCell ref="A40:E41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A16:B16"/>
    <mergeCell ref="C16:E16"/>
    <mergeCell ref="G16:H16"/>
    <mergeCell ref="I16:J16"/>
    <mergeCell ref="G17:H17"/>
    <mergeCell ref="I17:J17"/>
    <mergeCell ref="F14:H14"/>
    <mergeCell ref="I14:J14"/>
    <mergeCell ref="A15:B15"/>
    <mergeCell ref="C15:D15"/>
    <mergeCell ref="G15:H15"/>
    <mergeCell ref="I15:J15"/>
    <mergeCell ref="A12:B12"/>
    <mergeCell ref="C12:D12"/>
    <mergeCell ref="A13:B13"/>
    <mergeCell ref="C13:D13"/>
    <mergeCell ref="A14:B14"/>
    <mergeCell ref="C14:D14"/>
    <mergeCell ref="A9:B9"/>
    <mergeCell ref="C9:D9"/>
    <mergeCell ref="A10:B10"/>
    <mergeCell ref="C10:D10"/>
    <mergeCell ref="A11:B11"/>
    <mergeCell ref="C11:D11"/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</mergeCells>
  <pageMargins left="0.7" right="0.7" top="0.75" bottom="0.75" header="0" footer="0"/>
  <pageSetup paperSize="9" orientation="portrait" r:id="rId1"/>
  <headerFooter>
    <oddHeader>&amp;LPKKK/UAT/003B&amp;R16-Dis-2024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2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3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4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5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6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DC1632-1DF1-4581-8F67-DF7E828E215D}">
  <sheetPr codeName="Sheet15"/>
  <dimension ref="A1:Z579"/>
  <sheetViews>
    <sheetView view="pageLayout" zoomScale="112" zoomScaleNormal="100" zoomScalePageLayoutView="112" workbookViewId="0">
      <selection activeCell="A5" sqref="A5:J5"/>
    </sheetView>
  </sheetViews>
  <sheetFormatPr defaultColWidth="14.42578125" defaultRowHeight="15" customHeight="1" x14ac:dyDescent="0.25"/>
  <cols>
    <col min="1" max="1" width="12.85546875" style="39" customWidth="1"/>
    <col min="2" max="2" width="8" style="39" customWidth="1"/>
    <col min="3" max="3" width="11.28515625" style="39" customWidth="1"/>
    <col min="4" max="4" width="6" style="39" customWidth="1"/>
    <col min="5" max="5" width="6.85546875" style="39" customWidth="1"/>
    <col min="6" max="6" width="12.140625" style="39" customWidth="1"/>
    <col min="7" max="7" width="10" style="39" customWidth="1"/>
    <col min="8" max="8" width="8.5703125" style="39" customWidth="1"/>
    <col min="9" max="9" width="4.5703125" style="39" customWidth="1"/>
    <col min="10" max="10" width="6.7109375" style="39" customWidth="1"/>
    <col min="11" max="11" width="8" style="39" customWidth="1"/>
    <col min="12" max="16384" width="14.42578125" style="39"/>
  </cols>
  <sheetData>
    <row r="1" spans="1:26" x14ac:dyDescent="0.25">
      <c r="A1" s="123" t="s">
        <v>0</v>
      </c>
      <c r="B1" s="124"/>
      <c r="C1" s="124"/>
      <c r="D1" s="124"/>
      <c r="E1" s="124"/>
      <c r="F1" s="124"/>
      <c r="G1" s="124"/>
      <c r="H1" s="124"/>
      <c r="I1" s="124"/>
      <c r="J1" s="125"/>
    </row>
    <row r="2" spans="1:26" x14ac:dyDescent="0.25">
      <c r="A2" s="123" t="s">
        <v>1</v>
      </c>
      <c r="B2" s="124"/>
      <c r="C2" s="124"/>
      <c r="D2" s="124"/>
      <c r="E2" s="124"/>
      <c r="F2" s="124"/>
      <c r="G2" s="124"/>
      <c r="H2" s="124"/>
      <c r="I2" s="124"/>
      <c r="J2" s="125"/>
    </row>
    <row r="3" spans="1:26" x14ac:dyDescent="0.25">
      <c r="A3" s="126" t="s">
        <v>2</v>
      </c>
      <c r="B3" s="124"/>
      <c r="C3" s="125"/>
      <c r="D3" s="127">
        <f>FormSampel!F18</f>
        <v>0</v>
      </c>
      <c r="E3" s="124"/>
      <c r="F3" s="124"/>
      <c r="G3" s="124"/>
      <c r="H3" s="124"/>
      <c r="I3" s="124"/>
      <c r="J3" s="125"/>
    </row>
    <row r="4" spans="1:26" x14ac:dyDescent="0.25">
      <c r="A4" s="126" t="s">
        <v>3</v>
      </c>
      <c r="B4" s="124"/>
      <c r="C4" s="125"/>
      <c r="D4" s="127" t="str">
        <f>FormSampel!B2</f>
        <v>120225(2)</v>
      </c>
      <c r="E4" s="124"/>
      <c r="F4" s="124"/>
      <c r="G4" s="124"/>
      <c r="H4" s="124"/>
      <c r="I4" s="124"/>
      <c r="J4" s="125"/>
    </row>
    <row r="5" spans="1:26" ht="15" customHeight="1" x14ac:dyDescent="0.25">
      <c r="A5" s="128" t="s">
        <v>87</v>
      </c>
      <c r="B5" s="124"/>
      <c r="C5" s="124"/>
      <c r="D5" s="124"/>
      <c r="E5" s="124"/>
      <c r="F5" s="124"/>
      <c r="G5" s="124"/>
      <c r="H5" s="124"/>
      <c r="I5" s="124"/>
      <c r="J5" s="125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28" t="s">
        <v>4</v>
      </c>
      <c r="B6" s="124"/>
      <c r="C6" s="124"/>
      <c r="D6" s="124"/>
      <c r="E6" s="124"/>
      <c r="F6" s="124"/>
      <c r="G6" s="124"/>
      <c r="H6" s="124"/>
      <c r="I6" s="124"/>
      <c r="J6" s="125"/>
    </row>
    <row r="7" spans="1:26" ht="30" customHeight="1" x14ac:dyDescent="0.25">
      <c r="A7" s="129" t="s">
        <v>5</v>
      </c>
      <c r="B7" s="119"/>
      <c r="C7" s="130" t="s">
        <v>6</v>
      </c>
      <c r="D7" s="119"/>
      <c r="E7" s="119"/>
      <c r="F7" s="42" t="s">
        <v>7</v>
      </c>
      <c r="G7" s="118" t="s">
        <v>8</v>
      </c>
      <c r="H7" s="119"/>
      <c r="I7" s="119"/>
      <c r="J7" s="120"/>
    </row>
    <row r="8" spans="1:26" ht="15" customHeight="1" x14ac:dyDescent="0.25">
      <c r="A8" s="131" t="s">
        <v>9</v>
      </c>
      <c r="B8" s="113"/>
      <c r="C8" s="132" t="s">
        <v>10</v>
      </c>
      <c r="D8" s="113"/>
      <c r="E8" s="4"/>
      <c r="F8" s="38" t="s">
        <v>11</v>
      </c>
      <c r="G8" s="6" t="s">
        <v>12</v>
      </c>
      <c r="H8" s="6" t="s">
        <v>13</v>
      </c>
      <c r="I8" s="121"/>
      <c r="J8" s="122"/>
    </row>
    <row r="9" spans="1:26" ht="30" customHeight="1" x14ac:dyDescent="0.25">
      <c r="A9" s="133" t="s">
        <v>14</v>
      </c>
      <c r="B9" s="113"/>
      <c r="C9" s="132" t="s">
        <v>15</v>
      </c>
      <c r="D9" s="113"/>
      <c r="E9" s="7"/>
      <c r="F9" s="42" t="s">
        <v>16</v>
      </c>
      <c r="G9" s="8" t="s">
        <v>17</v>
      </c>
      <c r="H9" s="8" t="s">
        <v>18</v>
      </c>
      <c r="I9" s="9"/>
      <c r="J9" s="10"/>
    </row>
    <row r="10" spans="1:26" ht="15" customHeight="1" x14ac:dyDescent="0.25">
      <c r="A10" s="131" t="s">
        <v>19</v>
      </c>
      <c r="B10" s="113"/>
      <c r="C10" s="132" t="s">
        <v>20</v>
      </c>
      <c r="D10" s="113"/>
      <c r="E10" s="7"/>
      <c r="F10" s="42" t="s">
        <v>21</v>
      </c>
      <c r="G10" s="8" t="s">
        <v>22</v>
      </c>
      <c r="H10" s="8" t="s">
        <v>23</v>
      </c>
      <c r="I10" s="11"/>
      <c r="J10" s="10"/>
    </row>
    <row r="11" spans="1:26" ht="30" customHeight="1" x14ac:dyDescent="0.25">
      <c r="A11" s="133" t="s">
        <v>24</v>
      </c>
      <c r="B11" s="113"/>
      <c r="C11" s="136" t="s">
        <v>25</v>
      </c>
      <c r="D11" s="113"/>
      <c r="E11" s="7"/>
      <c r="F11" s="42" t="s">
        <v>26</v>
      </c>
      <c r="G11" s="8" t="s">
        <v>27</v>
      </c>
      <c r="H11" s="8" t="s">
        <v>28</v>
      </c>
      <c r="I11" s="11"/>
      <c r="J11" s="10"/>
    </row>
    <row r="12" spans="1:26" ht="15" customHeight="1" x14ac:dyDescent="0.25">
      <c r="A12" s="131" t="s">
        <v>29</v>
      </c>
      <c r="B12" s="113"/>
      <c r="C12" s="132" t="s">
        <v>30</v>
      </c>
      <c r="D12" s="113"/>
      <c r="E12" s="7"/>
      <c r="F12" s="42" t="s">
        <v>31</v>
      </c>
      <c r="G12" s="8" t="s">
        <v>32</v>
      </c>
      <c r="H12" s="8" t="s">
        <v>33</v>
      </c>
      <c r="I12" s="9"/>
      <c r="J12" s="10"/>
    </row>
    <row r="13" spans="1:26" ht="30" x14ac:dyDescent="0.25">
      <c r="A13" s="131" t="s">
        <v>34</v>
      </c>
      <c r="B13" s="113"/>
      <c r="C13" s="132" t="s">
        <v>35</v>
      </c>
      <c r="D13" s="113"/>
      <c r="E13" s="7"/>
      <c r="F13" s="42" t="s">
        <v>36</v>
      </c>
      <c r="G13" s="8" t="s">
        <v>37</v>
      </c>
      <c r="H13" s="8" t="s">
        <v>38</v>
      </c>
      <c r="I13" s="11"/>
      <c r="J13" s="12"/>
    </row>
    <row r="14" spans="1:26" ht="15" customHeight="1" x14ac:dyDescent="0.25">
      <c r="A14" s="131" t="s">
        <v>39</v>
      </c>
      <c r="B14" s="113"/>
      <c r="C14" s="132" t="s">
        <v>40</v>
      </c>
      <c r="D14" s="113"/>
      <c r="E14" s="7"/>
      <c r="F14" s="134" t="s">
        <v>41</v>
      </c>
      <c r="G14" s="113"/>
      <c r="H14" s="113"/>
      <c r="I14" s="135" t="s">
        <v>42</v>
      </c>
      <c r="J14" s="122"/>
    </row>
    <row r="15" spans="1:26" ht="15" customHeight="1" x14ac:dyDescent="0.25">
      <c r="A15" s="131" t="s">
        <v>43</v>
      </c>
      <c r="B15" s="113"/>
      <c r="C15" s="132" t="s">
        <v>44</v>
      </c>
      <c r="D15" s="113"/>
      <c r="E15" s="7"/>
      <c r="F15" s="43" t="s">
        <v>72</v>
      </c>
      <c r="G15" s="138" t="str">
        <f>FormSampel!B14</f>
        <v>HC 20925173 - 1</v>
      </c>
      <c r="H15" s="138"/>
      <c r="I15" s="93">
        <f>FormSampel!C14</f>
        <v>46356</v>
      </c>
      <c r="J15" s="94"/>
    </row>
    <row r="16" spans="1:26" ht="15" customHeight="1" x14ac:dyDescent="0.25">
      <c r="A16" s="131" t="s">
        <v>45</v>
      </c>
      <c r="B16" s="113"/>
      <c r="C16" s="137" t="s">
        <v>46</v>
      </c>
      <c r="D16" s="113"/>
      <c r="E16" s="113"/>
      <c r="F16" s="44" t="s">
        <v>73</v>
      </c>
      <c r="G16" s="101" t="str">
        <f>FormSampel!B15</f>
        <v>HC 28845526 - 1</v>
      </c>
      <c r="H16" s="101"/>
      <c r="I16" s="93">
        <f>FormSampel!C15</f>
        <v>46173</v>
      </c>
      <c r="J16" s="94"/>
    </row>
    <row r="17" spans="1:26" ht="15" customHeight="1" x14ac:dyDescent="0.25">
      <c r="A17" s="40"/>
      <c r="B17" s="42"/>
      <c r="C17" s="41"/>
      <c r="D17" s="41"/>
      <c r="E17" s="41"/>
      <c r="F17" s="44" t="s">
        <v>74</v>
      </c>
      <c r="G17" s="101" t="str">
        <f>FormSampel!B16</f>
        <v>HC 28959376 - 1</v>
      </c>
      <c r="H17" s="101"/>
      <c r="I17" s="93">
        <f>FormSampel!C16</f>
        <v>46203</v>
      </c>
      <c r="J17" s="94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5" t="s">
        <v>75</v>
      </c>
      <c r="G18" s="100" t="str">
        <f>FormSampel!B17</f>
        <v>HC 33253877 - 1</v>
      </c>
      <c r="H18" s="100"/>
      <c r="I18" s="95">
        <f>FormSampel!C17</f>
        <v>46691</v>
      </c>
      <c r="J18" s="96"/>
    </row>
    <row r="19" spans="1:26" x14ac:dyDescent="0.25">
      <c r="A19" s="97" t="s">
        <v>47</v>
      </c>
      <c r="B19" s="98"/>
      <c r="C19" s="98"/>
      <c r="D19" s="98"/>
      <c r="E19" s="98"/>
      <c r="F19" s="98"/>
      <c r="G19" s="98"/>
      <c r="H19" s="98"/>
      <c r="I19" s="98"/>
      <c r="J19" s="99"/>
    </row>
    <row r="20" spans="1:26" ht="26.25" customHeight="1" x14ac:dyDescent="0.25">
      <c r="A20" s="102" t="s">
        <v>48</v>
      </c>
      <c r="B20" s="103"/>
      <c r="C20" s="29">
        <f>FormSampel!G18</f>
        <v>0</v>
      </c>
      <c r="D20" s="30" t="s">
        <v>49</v>
      </c>
      <c r="E20" s="31">
        <v>1000</v>
      </c>
      <c r="F20" s="104" t="s">
        <v>50</v>
      </c>
      <c r="G20" s="103"/>
      <c r="H20" s="105" t="str">
        <f>IF(AND(C21&lt;0.15),"&lt;0.15",C21)</f>
        <v>&lt;0.15</v>
      </c>
      <c r="I20" s="106"/>
      <c r="J20" s="32" t="s">
        <v>51</v>
      </c>
    </row>
    <row r="21" spans="1:26" ht="15.75" customHeight="1" x14ac:dyDescent="0.25">
      <c r="A21" s="33" t="s">
        <v>52</v>
      </c>
      <c r="B21" s="34"/>
      <c r="C21" s="107">
        <f>C20/1000</f>
        <v>0</v>
      </c>
      <c r="D21" s="108"/>
      <c r="E21" s="35"/>
      <c r="F21" s="34"/>
      <c r="G21" s="34"/>
      <c r="H21" s="34"/>
      <c r="I21" s="34"/>
      <c r="J21" s="32"/>
    </row>
    <row r="22" spans="1:26" ht="15.75" customHeight="1" x14ac:dyDescent="0.25">
      <c r="A22" s="109" t="s">
        <v>55</v>
      </c>
      <c r="B22" s="110"/>
      <c r="C22" s="110"/>
      <c r="D22" s="110"/>
      <c r="E22" s="110"/>
      <c r="F22" s="110"/>
      <c r="G22" s="110"/>
      <c r="H22" s="110"/>
      <c r="I22" s="110"/>
      <c r="J22" s="11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02" t="s">
        <v>48</v>
      </c>
      <c r="B23" s="103"/>
      <c r="C23" s="29">
        <f>FormSampel!H18</f>
        <v>0</v>
      </c>
      <c r="D23" s="30" t="s">
        <v>49</v>
      </c>
      <c r="E23" s="36">
        <v>1000</v>
      </c>
      <c r="F23" s="104" t="s">
        <v>50</v>
      </c>
      <c r="G23" s="103"/>
      <c r="H23" s="105" t="str">
        <f>IF(C24&lt;0.15,"&lt;0.15",C24)</f>
        <v>&lt;0.15</v>
      </c>
      <c r="I23" s="106"/>
      <c r="J23" s="32" t="s">
        <v>51</v>
      </c>
    </row>
    <row r="24" spans="1:26" ht="15.75" customHeight="1" x14ac:dyDescent="0.25">
      <c r="A24" s="33" t="s">
        <v>52</v>
      </c>
      <c r="B24" s="34"/>
      <c r="C24" s="107">
        <f>C23/1000</f>
        <v>0</v>
      </c>
      <c r="D24" s="108"/>
      <c r="E24" s="35"/>
      <c r="F24" s="34"/>
      <c r="G24" s="34"/>
      <c r="H24" s="34"/>
      <c r="I24" s="34"/>
      <c r="J24" s="32"/>
    </row>
    <row r="25" spans="1:26" ht="15.75" customHeight="1" x14ac:dyDescent="0.25">
      <c r="A25" s="109" t="s">
        <v>53</v>
      </c>
      <c r="B25" s="110"/>
      <c r="C25" s="110"/>
      <c r="D25" s="110"/>
      <c r="E25" s="110"/>
      <c r="F25" s="110"/>
      <c r="G25" s="110"/>
      <c r="H25" s="110"/>
      <c r="I25" s="110"/>
      <c r="J25" s="11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12" t="s">
        <v>48</v>
      </c>
      <c r="B26" s="113"/>
      <c r="C26" s="29">
        <f>FormSampel!I18</f>
        <v>0</v>
      </c>
      <c r="D26" s="30" t="s">
        <v>49</v>
      </c>
      <c r="E26" s="36">
        <v>1000</v>
      </c>
      <c r="F26" s="114" t="s">
        <v>50</v>
      </c>
      <c r="G26" s="103"/>
      <c r="H26" s="105" t="str">
        <f>IF(AND(C27&lt;0.15),"&lt;0.15",C27)</f>
        <v>&lt;0.15</v>
      </c>
      <c r="I26" s="106"/>
      <c r="J26" s="37" t="s">
        <v>51</v>
      </c>
    </row>
    <row r="27" spans="1:26" ht="15.75" customHeight="1" x14ac:dyDescent="0.25">
      <c r="A27" s="33" t="s">
        <v>52</v>
      </c>
      <c r="B27" s="34"/>
      <c r="C27" s="115">
        <f>C26/1000</f>
        <v>0</v>
      </c>
      <c r="D27" s="116"/>
      <c r="E27" s="35"/>
      <c r="F27" s="34"/>
      <c r="G27" s="34"/>
      <c r="H27" s="34"/>
      <c r="I27" s="34"/>
      <c r="J27" s="32"/>
    </row>
    <row r="28" spans="1:26" ht="15.75" customHeight="1" x14ac:dyDescent="0.25">
      <c r="A28" s="109" t="s">
        <v>54</v>
      </c>
      <c r="B28" s="110"/>
      <c r="C28" s="110"/>
      <c r="D28" s="110"/>
      <c r="E28" s="110"/>
      <c r="F28" s="110"/>
      <c r="G28" s="110"/>
      <c r="H28" s="110"/>
      <c r="I28" s="110"/>
      <c r="J28" s="11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12" t="s">
        <v>48</v>
      </c>
      <c r="B29" s="113"/>
      <c r="C29" s="29">
        <f>FormSampel!J18</f>
        <v>0</v>
      </c>
      <c r="D29" s="30" t="s">
        <v>49</v>
      </c>
      <c r="E29" s="36">
        <v>1000</v>
      </c>
      <c r="F29" s="117" t="s">
        <v>50</v>
      </c>
      <c r="G29" s="113"/>
      <c r="H29" s="105" t="str">
        <f>IF(AND(C30&lt;0.15),"&lt;0.15",C30)</f>
        <v>&lt;0.15</v>
      </c>
      <c r="I29" s="106"/>
      <c r="J29" s="32" t="s">
        <v>51</v>
      </c>
    </row>
    <row r="30" spans="1:26" ht="15.75" customHeight="1" x14ac:dyDescent="0.25">
      <c r="A30" s="33" t="s">
        <v>52</v>
      </c>
      <c r="B30" s="34"/>
      <c r="C30" s="107">
        <f>C29/1000</f>
        <v>0</v>
      </c>
      <c r="D30" s="108"/>
      <c r="E30" s="35"/>
      <c r="F30" s="34"/>
      <c r="G30" s="34"/>
      <c r="H30" s="34"/>
      <c r="I30" s="34"/>
      <c r="J30" s="32"/>
    </row>
    <row r="31" spans="1:26" ht="15.75" customHeight="1" x14ac:dyDescent="0.25">
      <c r="A31" s="150" t="s">
        <v>56</v>
      </c>
      <c r="B31" s="119"/>
      <c r="C31" s="17"/>
      <c r="D31" s="17"/>
      <c r="E31" s="17"/>
      <c r="F31" s="18" t="s">
        <v>57</v>
      </c>
      <c r="G31" s="17"/>
      <c r="H31" s="17"/>
      <c r="I31" s="17"/>
      <c r="J31" s="19"/>
    </row>
    <row r="32" spans="1:26" ht="15.75" customHeight="1" x14ac:dyDescent="0.25">
      <c r="A32" s="20"/>
      <c r="B32" s="151" t="s">
        <v>58</v>
      </c>
      <c r="C32" s="113"/>
      <c r="D32" s="113"/>
      <c r="E32" s="122"/>
      <c r="F32" s="1"/>
      <c r="G32" s="1"/>
      <c r="H32" s="1"/>
      <c r="I32" s="1"/>
      <c r="J32" s="16"/>
    </row>
    <row r="33" spans="1:26" ht="15.75" customHeight="1" x14ac:dyDescent="0.25">
      <c r="A33" s="20"/>
      <c r="B33" s="113"/>
      <c r="C33" s="113"/>
      <c r="D33" s="113"/>
      <c r="E33" s="122"/>
      <c r="F33" s="21"/>
      <c r="G33" s="1"/>
      <c r="H33" s="1"/>
      <c r="I33" s="1"/>
      <c r="J33" s="16"/>
    </row>
    <row r="34" spans="1:26" ht="15.75" customHeight="1" x14ac:dyDescent="0.25">
      <c r="A34" s="22"/>
      <c r="B34" s="151" t="s">
        <v>59</v>
      </c>
      <c r="C34" s="113"/>
      <c r="D34" s="113"/>
      <c r="E34" s="122"/>
      <c r="F34" s="1"/>
      <c r="G34" s="1"/>
      <c r="H34" s="1"/>
      <c r="I34" s="1"/>
      <c r="J34" s="16"/>
    </row>
    <row r="35" spans="1:26" ht="15.75" customHeight="1" x14ac:dyDescent="0.25">
      <c r="A35" s="22"/>
      <c r="B35" s="113"/>
      <c r="C35" s="113"/>
      <c r="D35" s="113"/>
      <c r="E35" s="122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52" t="s">
        <v>60</v>
      </c>
      <c r="B38" s="119"/>
      <c r="C38" s="119"/>
      <c r="D38" s="119"/>
      <c r="E38" s="120"/>
      <c r="F38" s="139" t="str">
        <f>FormSampel!B19</f>
        <v>AMIR / MAISARAH</v>
      </c>
      <c r="G38" s="140"/>
      <c r="H38" s="143">
        <f>FormSampel!B20</f>
        <v>45700</v>
      </c>
      <c r="I38" s="143"/>
      <c r="J38" s="144"/>
    </row>
    <row r="39" spans="1:26" ht="11.25" customHeight="1" x14ac:dyDescent="0.25">
      <c r="A39" s="148"/>
      <c r="B39" s="149"/>
      <c r="C39" s="149"/>
      <c r="D39" s="149"/>
      <c r="E39" s="153"/>
      <c r="F39" s="141"/>
      <c r="G39" s="142"/>
      <c r="H39" s="145"/>
      <c r="I39" s="145"/>
      <c r="J39" s="146"/>
    </row>
    <row r="40" spans="1:26" ht="15.75" customHeight="1" x14ac:dyDescent="0.25">
      <c r="A40" s="147" t="s">
        <v>61</v>
      </c>
      <c r="B40" s="119"/>
      <c r="C40" s="119"/>
      <c r="D40" s="119"/>
      <c r="E40" s="119"/>
      <c r="F40" s="27"/>
      <c r="G40" s="23"/>
      <c r="H40" s="23"/>
      <c r="I40" s="23"/>
      <c r="J40" s="16"/>
    </row>
    <row r="41" spans="1:26" ht="11.25" customHeight="1" x14ac:dyDescent="0.25">
      <c r="A41" s="148"/>
      <c r="B41" s="149"/>
      <c r="C41" s="149"/>
      <c r="D41" s="149"/>
      <c r="E41" s="149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B34:E35"/>
    <mergeCell ref="A38:E39"/>
    <mergeCell ref="F38:G39"/>
    <mergeCell ref="H38:J39"/>
    <mergeCell ref="A40:E41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A16:B16"/>
    <mergeCell ref="C16:E16"/>
    <mergeCell ref="G16:H16"/>
    <mergeCell ref="I16:J16"/>
    <mergeCell ref="G17:H17"/>
    <mergeCell ref="I17:J17"/>
    <mergeCell ref="F14:H14"/>
    <mergeCell ref="I14:J14"/>
    <mergeCell ref="A15:B15"/>
    <mergeCell ref="C15:D15"/>
    <mergeCell ref="G15:H15"/>
    <mergeCell ref="I15:J15"/>
    <mergeCell ref="A12:B12"/>
    <mergeCell ref="C12:D12"/>
    <mergeCell ref="A13:B13"/>
    <mergeCell ref="C13:D13"/>
    <mergeCell ref="A14:B14"/>
    <mergeCell ref="C14:D14"/>
    <mergeCell ref="A9:B9"/>
    <mergeCell ref="C9:D9"/>
    <mergeCell ref="A10:B10"/>
    <mergeCell ref="C10:D10"/>
    <mergeCell ref="A11:B11"/>
    <mergeCell ref="C11:D11"/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</mergeCells>
  <pageMargins left="0.7" right="0.7" top="0.75" bottom="0.75" header="0" footer="0"/>
  <pageSetup paperSize="9" orientation="portrait" r:id="rId1"/>
  <headerFooter>
    <oddHeader>&amp;LPKKK/UAT/003B&amp;R16-Dis-2024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5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6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7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8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9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0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16</vt:i4>
      </vt:variant>
    </vt:vector>
  </HeadingPairs>
  <TitlesOfParts>
    <vt:vector size="16" baseType="lpstr">
      <vt:lpstr>FormSampel</vt:lpstr>
      <vt:lpstr>Sampel 1</vt:lpstr>
      <vt:lpstr>Sampel 2</vt:lpstr>
      <vt:lpstr>Sampel 3</vt:lpstr>
      <vt:lpstr>Sampel 4</vt:lpstr>
      <vt:lpstr>Sampel 5</vt:lpstr>
      <vt:lpstr>Sampel 6</vt:lpstr>
      <vt:lpstr>Sampel 7</vt:lpstr>
      <vt:lpstr>Sampel 8</vt:lpstr>
      <vt:lpstr>Sampel 9</vt:lpstr>
      <vt:lpstr>Sampel 10</vt:lpstr>
      <vt:lpstr>Sampel 11</vt:lpstr>
      <vt:lpstr>Sampel 12</vt:lpstr>
      <vt:lpstr>Sampel 13</vt:lpstr>
      <vt:lpstr>Sampel 14</vt:lpstr>
      <vt:lpstr>Sampel 15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Muhammad Fauzi bin Mohd Nor</dc:creator>
  <cp:lastModifiedBy>Gunasama NPRA</cp:lastModifiedBy>
  <cp:lastPrinted>2025-02-14T07:09:43Z</cp:lastPrinted>
  <dcterms:created xsi:type="dcterms:W3CDTF">2006-09-16T00:00:00Z</dcterms:created>
  <dcterms:modified xsi:type="dcterms:W3CDTF">2025-02-14T07:12:01Z</dcterms:modified>
</cp:coreProperties>
</file>