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ICPMS\130225\"/>
    </mc:Choice>
  </mc:AlternateContent>
  <xr:revisionPtr revIDLastSave="0" documentId="13_ncr:1_{7F51480C-2C82-4408-A07D-A8FD976E2D6C}" xr6:coauthVersionLast="36" xr6:coauthVersionMax="36" xr10:uidLastSave="{00000000-0000-0000-0000-000000000000}"/>
  <bookViews>
    <workbookView xWindow="0" yWindow="0" windowWidth="28800" windowHeight="12300" activeTab="2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<sst xmlns="http://schemas.openxmlformats.org/spreadsheetml/2006/main" count="1263" uniqueCount="94">
  <si>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</si>
  <si>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</si>
  <si>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</si>
  <si>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</si>
  <si>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</si>
  <si>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</si>
  <si>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</si>
  <si>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</si>
  <si>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</si>
  <si>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</si>
  <si>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</si>
  <si>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</si>
  <si>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</si>
  <si>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</si>
  <si>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</si>
  <si>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</si>
  <si>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</si>
  <si>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</si>
  <si>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</si>
  <si>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</si>
  <si>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</si>
  <si>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</si>
  <si>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</si>
  <si>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</si>
  <si>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</si>
  <si>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</si>
  <si>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</si>
  <si>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</si>
  <si>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</si>
  <si>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</si>
  <si>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</si>
  <si>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</si>
  <si>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</si>
  <si>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</si>
  <si>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</si>
  <si>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</si>
  <si>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</si>
  <si>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</si>
  <si>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</si>
  <si>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</si>
  <si>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</si>
  <si>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</si>
  <si>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</si>
  <si>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</si>
  <si>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</si>
  <si>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</si>
  <si>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</si>
  <si>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</si>
  <si>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</si>
  <si>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</si>
  <si>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</si>
  <si>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</si>
  <si>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</si>
  <si>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</si>
  <si>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</si>
  <si>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</si>
  <si>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</si>
  <si>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</si>
  <si>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</si>
  <si>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</si>
  <si>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</si>
  <si>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</si>
  <si>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</si>
  <si>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</si>
  <si>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</si>
  <si>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</si>
  <si>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</si>
  <si>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</si>
  <si>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</si>
  <si>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</si>
  <si>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</si>
  <si>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</si>
  <si>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</si>
  <si>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</si>
  <si>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</si>
  <si>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</si>
  <si>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</si>
  <si>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</si>
  <si>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</si>
  <si>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</si>
  <si>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</si>
  <si>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</si>
  <si>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</si>
  <si>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</si>
  <si>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</si>
  <si>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</si>
  <si>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</si>
  <si>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</si>
  <si>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HC 20925173 - 1</t>
  </si>
  <si>
    <t>HC 28845526 - 1</t>
  </si>
  <si>
    <t>HC 33253877 - 1</t>
  </si>
  <si>
    <t>HC 28959376 - 1</t>
  </si>
  <si>
    <t>130225</t>
  </si>
  <si>
    <t>AMIR /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</si>
</sst>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7" fillId="0" borderId="0" xfId="0" applyFont="1"/>
    <xf numFmtId="0" fontId="5" fillId="0" borderId="0" xfId="0" applyFont="1" applyAlignment="1">
      <alignment vertical="center" wrapText="1"/>
    </xf>
    <xf numFmtId="0" fontId="5" fillId="0" borderId="7" xfId="0" applyFont="1" applyBorder="1" applyAlignment="1">
      <alignment vertical="center" wrapText="1"/>
    </xf>
    <xf numFmtId="1" fontId="7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wrapText="1"/>
    </xf>
    <xf numFmtId="1" fontId="9" fillId="0" borderId="8" xfId="0" applyNumberFormat="1" applyFont="1" applyBorder="1" applyAlignment="1">
      <alignment vertical="top" wrapText="1"/>
    </xf>
    <xf numFmtId="0" fontId="8" fillId="0" borderId="0" xfId="0" applyFont="1" applyAlignment="1">
      <alignment wrapText="1"/>
    </xf>
    <xf numFmtId="0" fontId="8" fillId="0" borderId="8" xfId="0" applyFont="1" applyBorder="1" applyAlignment="1">
      <alignment wrapText="1"/>
    </xf>
    <xf numFmtId="0" fontId="7" fillId="0" borderId="0" xfId="0" applyFont="1" applyAlignment="1">
      <alignment horizontal="left" vertical="center" wrapText="1"/>
    </xf>
    <xf numFmtId="0" fontId="5" fillId="0" borderId="7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0" borderId="8" xfId="0" applyFont="1" applyBorder="1"/>
    <xf numFmtId="0" fontId="7" fillId="0" borderId="5" xfId="0" applyFont="1" applyBorder="1" applyAlignment="1">
      <alignment wrapText="1"/>
    </xf>
    <xf numFmtId="0" fontId="5" fillId="0" borderId="4" xfId="0" applyFont="1" applyBorder="1" applyAlignment="1">
      <alignment wrapText="1"/>
    </xf>
    <xf numFmtId="0" fontId="7" fillId="0" borderId="6" xfId="0" applyFont="1" applyBorder="1" applyAlignment="1">
      <alignment wrapText="1"/>
    </xf>
    <xf numFmtId="0" fontId="7" fillId="0" borderId="7" xfId="0" applyFont="1" applyBorder="1" applyAlignment="1">
      <alignment vertical="center" wrapText="1"/>
    </xf>
    <xf numFmtId="0" fontId="7" fillId="0" borderId="0" xfId="0" applyFont="1" applyAlignment="1">
      <alignment horizontal="center" vertical="top" wrapText="1"/>
    </xf>
    <xf numFmtId="0" fontId="7" fillId="0" borderId="7" xfId="0" applyFont="1" applyBorder="1" applyAlignment="1">
      <alignment wrapText="1"/>
    </xf>
    <xf numFmtId="0" fontId="7" fillId="0" borderId="5" xfId="0" applyFont="1" applyBorder="1"/>
    <xf numFmtId="0" fontId="7" fillId="0" borderId="11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4" xfId="0" applyFont="1" applyBorder="1"/>
    <xf numFmtId="0" fontId="7" fillId="0" borderId="0" xfId="0" applyFont="1" applyAlignment="1">
      <alignment wrapText="1"/>
    </xf>
    <xf numFmtId="164" fontId="10" fillId="4" borderId="0" xfId="0" applyNumberFormat="1" applyFont="1" applyFill="1"/>
    <xf numFmtId="164" fontId="10" fillId="0" borderId="0" xfId="0" applyNumberFormat="1" applyFont="1" applyAlignment="1">
      <alignment horizontal="center"/>
    </xf>
    <xf numFmtId="1" fontId="10" fillId="0" borderId="8" xfId="0" applyNumberFormat="1" applyFont="1" applyBorder="1" applyAlignment="1">
      <alignment horizontal="center"/>
    </xf>
    <xf numFmtId="0" fontId="10" fillId="0" borderId="8" xfId="0" applyFont="1" applyBorder="1"/>
    <xf numFmtId="0" fontId="10" fillId="0" borderId="7" xfId="0" applyFont="1" applyBorder="1" applyAlignment="1">
      <alignment horizontal="right" wrapText="1"/>
    </xf>
    <xf numFmtId="0" fontId="10" fillId="0" borderId="0" xfId="0" applyFont="1"/>
    <xf numFmtId="166" fontId="14" fillId="0" borderId="8" xfId="0" applyNumberFormat="1" applyFont="1" applyBorder="1"/>
    <xf numFmtId="1" fontId="10" fillId="0" borderId="8" xfId="0" applyNumberFormat="1" applyFont="1" applyBorder="1" applyAlignment="1">
      <alignment horizontal="center" vertical="center"/>
    </xf>
    <xf numFmtId="0" fontId="10" fillId="0" borderId="6" xfId="0" applyFont="1" applyBorder="1"/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1" fontId="10" fillId="0" borderId="0" xfId="0" applyNumberFormat="1" applyFont="1" applyAlignment="1">
      <alignment horizontal="center" wrapText="1"/>
    </xf>
    <xf numFmtId="1" fontId="10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4" fillId="0" borderId="22" xfId="0" applyFont="1" applyBorder="1" applyAlignment="1">
      <alignment horizontal="left"/>
    </xf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4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4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6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5" fillId="8" borderId="20" xfId="0" applyFont="1" applyFill="1" applyBorder="1" applyAlignment="1"/>
    <xf numFmtId="0" fontId="15" fillId="8" borderId="19" xfId="0" applyFont="1" applyFill="1" applyBorder="1" applyAlignment="1">
      <alignment horizontal="left"/>
    </xf>
    <xf numFmtId="0" fontId="4" fillId="4" borderId="14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4" fillId="0" borderId="21" xfId="0" applyFont="1" applyBorder="1" applyAlignment="1"/>
    <xf numFmtId="0" fontId="0" fillId="0" borderId="38" xfId="0" applyFont="1" applyBorder="1" applyAlignment="1"/>
    <xf numFmtId="0" fontId="2" fillId="0" borderId="12" xfId="0" applyFont="1" applyBorder="1" applyAlignment="1"/>
    <xf numFmtId="0" fontId="2" fillId="0" borderId="17" xfId="0" applyFont="1" applyBorder="1" applyAlignment="1"/>
    <xf numFmtId="49" fontId="1" fillId="0" borderId="32" xfId="0" applyNumberFormat="1" applyFont="1" applyBorder="1" applyAlignment="1"/>
    <xf numFmtId="0" fontId="1" fillId="0" borderId="30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30" xfId="0" applyFont="1" applyFill="1" applyBorder="1" applyAlignment="1">
      <alignment horizontal="center" vertical="center"/>
    </xf>
    <xf numFmtId="0" fontId="15" fillId="8" borderId="35" xfId="0" applyFont="1" applyFill="1" applyBorder="1" applyAlignment="1">
      <alignment horizontal="center" vertical="center"/>
    </xf>
    <xf numFmtId="0" fontId="15" fillId="8" borderId="24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/>
    </xf>
    <xf numFmtId="167" fontId="11" fillId="0" borderId="0" xfId="0" applyNumberFormat="1" applyFont="1" applyAlignment="1">
      <alignment horizontal="center" wrapText="1"/>
    </xf>
    <xf numFmtId="167" fontId="11" fillId="0" borderId="8" xfId="0" applyNumberFormat="1" applyFont="1" applyBorder="1" applyAlignment="1">
      <alignment horizontal="center" wrapText="1"/>
    </xf>
    <xf numFmtId="167" fontId="11" fillId="0" borderId="9" xfId="0" applyNumberFormat="1" applyFont="1" applyBorder="1" applyAlignment="1">
      <alignment horizontal="center" wrapText="1"/>
    </xf>
    <xf numFmtId="167" fontId="11" fillId="0" borderId="10" xfId="0" applyNumberFormat="1" applyFont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1" fillId="0" borderId="4" xfId="0" applyFont="1" applyBorder="1" applyAlignment="1">
      <alignment horizontal="center" vertical="top" wrapText="1"/>
    </xf>
    <xf numFmtId="0" fontId="12" fillId="0" borderId="5" xfId="0" applyFont="1" applyBorder="1"/>
    <xf numFmtId="0" fontId="10" fillId="0" borderId="4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/>
    </xf>
    <xf numFmtId="0" fontId="12" fillId="0" borderId="2" xfId="0" applyFont="1" applyBorder="1"/>
    <xf numFmtId="165" fontId="13" fillId="0" borderId="1" xfId="0" applyNumberFormat="1" applyFont="1" applyBorder="1" applyAlignment="1">
      <alignment horizontal="center"/>
    </xf>
    <xf numFmtId="0" fontId="12" fillId="0" borderId="3" xfId="0" applyFont="1" applyBorder="1"/>
    <xf numFmtId="0" fontId="13" fillId="3" borderId="1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1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10" fillId="0" borderId="5" xfId="0" applyFont="1" applyBorder="1" applyAlignment="1">
      <alignment horizontal="center"/>
    </xf>
    <xf numFmtId="165" fontId="13" fillId="0" borderId="4" xfId="0" applyNumberFormat="1" applyFont="1" applyBorder="1" applyAlignment="1">
      <alignment horizontal="center"/>
    </xf>
    <xf numFmtId="0" fontId="12" fillId="0" borderId="6" xfId="0" applyFont="1" applyBorder="1"/>
    <xf numFmtId="0" fontId="10" fillId="0" borderId="0" xfId="0" applyFont="1" applyAlignment="1">
      <alignment horizontal="center"/>
    </xf>
    <xf numFmtId="0" fontId="7" fillId="0" borderId="5" xfId="0" applyFont="1" applyBorder="1" applyAlignment="1">
      <alignment horizontal="left" vertical="center" wrapText="1"/>
    </xf>
    <xf numFmtId="0" fontId="6" fillId="0" borderId="5" xfId="0" applyFont="1" applyBorder="1"/>
    <xf numFmtId="0" fontId="6" fillId="0" borderId="6" xfId="0" applyFont="1" applyBorder="1"/>
    <xf numFmtId="1" fontId="8" fillId="0" borderId="0" xfId="0" applyNumberFormat="1" applyFont="1" applyAlignment="1">
      <alignment horizontal="center" wrapText="1"/>
    </xf>
    <xf numFmtId="0" fontId="6" fillId="0" borderId="8" xfId="0" applyFont="1" applyBorder="1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1" xfId="0" applyFont="1" applyBorder="1" applyAlignment="1">
      <alignment horizontal="left" wrapText="1"/>
    </xf>
    <xf numFmtId="1" fontId="7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13" fillId="0" borderId="4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13" fillId="0" borderId="7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8" fillId="0" borderId="0" xfId="0" applyFont="1" applyAlignment="1">
      <alignment horizontal="left" wrapText="1"/>
    </xf>
    <xf numFmtId="0" fontId="10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 shrinkToFit="1"/>
    </xf>
    <xf numFmtId="49" fontId="7" fillId="0" borderId="5" xfId="0" applyNumberFormat="1" applyFont="1" applyBorder="1" applyAlignment="1">
      <alignment horizontal="center" vertical="center" shrinkToFit="1"/>
    </xf>
    <xf numFmtId="49" fontId="7" fillId="0" borderId="11" xfId="0" applyNumberFormat="1" applyFont="1" applyBorder="1" applyAlignment="1">
      <alignment horizontal="center" vertical="center" shrinkToFit="1"/>
    </xf>
    <xf numFmtId="49" fontId="7" fillId="0" borderId="9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/>
    </xf>
    <xf numFmtId="167" fontId="7" fillId="0" borderId="6" xfId="0" applyNumberFormat="1" applyFont="1" applyBorder="1" applyAlignment="1">
      <alignment horizontal="center" vertical="center"/>
    </xf>
    <xf numFmtId="167" fontId="7" fillId="0" borderId="9" xfId="0" applyNumberFormat="1" applyFont="1" applyBorder="1" applyAlignment="1">
      <alignment horizontal="center" vertical="center"/>
    </xf>
    <xf numFmtId="167" fontId="7" fillId="0" borderId="10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6" fillId="0" borderId="11" xfId="0" applyFont="1" applyBorder="1"/>
    <xf numFmtId="0" fontId="6" fillId="0" borderId="9" xfId="0" applyFont="1" applyBorder="1"/>
    <xf numFmtId="0" fontId="5" fillId="0" borderId="4" xfId="0" applyFont="1" applyBorder="1" applyAlignment="1">
      <alignment horizontal="left" wrapText="1"/>
    </xf>
    <xf numFmtId="0" fontId="5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10" xfId="0" applyFont="1" applyBorder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opLeftCell="A7" workbookViewId="0">
      <selection activeCell="B20" sqref="B20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1" customWidth="1"/>
    <col min="5" max="5" width="4" customWidth="1"/>
    <col min="6" max="6" width="24" style="62" customWidth="1"/>
    <col min="7" max="10" width="9.140625" style="65"/>
  </cols>
  <sheetData>
    <row r="1" spans="1:11" ht="15.75" customHeight="1" thickBot="1" x14ac:dyDescent="0.3"/>
    <row r="2" spans="1:11" ht="15.75" customHeight="1" x14ac:dyDescent="0.25">
      <c r="A2" s="72" t="s">
        <v>3</v>
      </c>
      <c r="B2" s="82" t="s">
        <v>92</v>
      </c>
      <c r="E2" s="85" t="s">
        <v>84</v>
      </c>
      <c r="F2" s="85" t="s">
        <v>85</v>
      </c>
      <c r="G2" s="84" t="s">
        <v>86</v>
      </c>
      <c r="H2" s="84"/>
      <c r="I2" s="84"/>
      <c r="J2" s="84"/>
    </row>
    <row r="3" spans="1:11" ht="15" customHeight="1" x14ac:dyDescent="0.25">
      <c r="A3" s="93" t="s">
        <v>62</v>
      </c>
      <c r="B3" s="93"/>
      <c r="E3" s="85"/>
      <c r="F3" s="86"/>
      <c r="G3" s="66" t="s">
        <v>70</v>
      </c>
      <c r="H3" s="67" t="s">
        <v>78</v>
      </c>
      <c r="I3" s="68" t="s">
        <v>13</v>
      </c>
      <c r="J3" s="69" t="s">
        <v>71</v>
      </c>
    </row>
    <row r="4" spans="1:11" ht="15.75" customHeight="1" x14ac:dyDescent="0.25">
      <c r="A4" s="57" t="s">
        <v>63</v>
      </c>
      <c r="B4" s="46" t="b">
        <v>0</v>
      </c>
      <c r="E4" s="63">
        <v>1</v>
      </c>
      <c r="F4" s="64">
        <v>2025020004</v>
      </c>
      <c r="G4" s="70">
        <v>8.0860000000000003</v>
      </c>
      <c r="H4" s="70">
        <v>7.9630000000000001</v>
      </c>
      <c r="I4" s="70">
        <v>9.0510000000000002</v>
      </c>
      <c r="J4" s="70">
        <v>301.95299999999997</v>
      </c>
      <c r="K4" s="61"/>
    </row>
    <row r="5" spans="1:11" x14ac:dyDescent="0.25">
      <c r="A5" s="78" t="s">
        <v>64</v>
      </c>
      <c r="B5" s="79" t="b">
        <v>1</v>
      </c>
      <c r="E5" s="63">
        <v>2</v>
      </c>
      <c r="F5" s="64">
        <v>2025020005</v>
      </c>
      <c r="G5" s="70">
        <v>154.816</v>
      </c>
      <c r="H5" s="70">
        <v>18.155000000000001</v>
      </c>
      <c r="I5" s="70">
        <v>5.5810000000000004</v>
      </c>
      <c r="J5" s="70">
        <v>2040.4780000000001</v>
      </c>
      <c r="K5" s="61"/>
    </row>
    <row r="6" spans="1:11" x14ac:dyDescent="0.25">
      <c r="A6" s="93" t="s">
        <v>65</v>
      </c>
      <c r="B6" s="93"/>
      <c r="E6" s="63">
        <v>3</v>
      </c>
      <c r="F6" s="64"/>
      <c r="G6" s="70"/>
      <c r="H6" s="70"/>
      <c r="I6" s="70"/>
      <c r="J6" s="70"/>
      <c r="K6" s="61"/>
    </row>
    <row r="7" spans="1:11" x14ac:dyDescent="0.25">
      <c r="A7" s="57" t="s">
        <v>66</v>
      </c>
      <c r="B7" s="58" t="b">
        <v>1</v>
      </c>
      <c r="E7" s="63">
        <v>4</v>
      </c>
      <c r="F7" s="64"/>
      <c r="G7" s="70"/>
      <c r="H7" s="70"/>
      <c r="I7" s="70"/>
      <c r="J7" s="70"/>
      <c r="K7" s="61"/>
    </row>
    <row r="8" spans="1:11" x14ac:dyDescent="0.25">
      <c r="A8" s="78" t="s">
        <v>82</v>
      </c>
      <c r="B8" s="79" t="b">
        <v>0</v>
      </c>
      <c r="E8" s="63">
        <v>5</v>
      </c>
      <c r="F8" s="64"/>
      <c r="G8" s="70"/>
      <c r="H8" s="70"/>
      <c r="I8" s="70"/>
      <c r="J8" s="70"/>
      <c r="K8" s="61"/>
    </row>
    <row r="9" spans="1:11" x14ac:dyDescent="0.25">
      <c r="A9" s="93" t="s">
        <v>67</v>
      </c>
      <c r="B9" s="93"/>
      <c r="E9" s="63">
        <v>6</v>
      </c>
      <c r="F9" s="64"/>
      <c r="G9" s="70"/>
      <c r="H9" s="70"/>
      <c r="I9" s="70"/>
      <c r="J9" s="70"/>
      <c r="K9" s="61"/>
    </row>
    <row r="10" spans="1:11" x14ac:dyDescent="0.25">
      <c r="A10" s="57" t="s">
        <v>68</v>
      </c>
      <c r="B10" s="58" t="b">
        <v>1</v>
      </c>
      <c r="E10" s="63">
        <v>7</v>
      </c>
      <c r="F10" s="64"/>
      <c r="G10" s="70"/>
      <c r="H10" s="70"/>
      <c r="I10" s="70"/>
      <c r="J10" s="70"/>
      <c r="K10" s="61"/>
    </row>
    <row r="11" spans="1:11" ht="15.75" customHeight="1" thickBot="1" x14ac:dyDescent="0.3">
      <c r="A11" s="48" t="s">
        <v>69</v>
      </c>
      <c r="B11" s="59" t="b">
        <v>0</v>
      </c>
      <c r="E11" s="63">
        <v>8</v>
      </c>
      <c r="F11" s="64"/>
      <c r="G11" s="70"/>
      <c r="H11" s="70"/>
      <c r="I11" s="70"/>
      <c r="J11" s="70"/>
      <c r="K11" s="61"/>
    </row>
    <row r="12" spans="1:11" ht="15" customHeight="1" x14ac:dyDescent="0.25">
      <c r="A12" s="87" t="s">
        <v>41</v>
      </c>
      <c r="B12" s="89" t="s">
        <v>76</v>
      </c>
      <c r="C12" s="91" t="s">
        <v>77</v>
      </c>
      <c r="E12" s="63">
        <v>9</v>
      </c>
      <c r="F12" s="64"/>
      <c r="G12" s="70"/>
      <c r="H12" s="70"/>
      <c r="I12" s="70"/>
      <c r="J12" s="70"/>
      <c r="K12" s="61"/>
    </row>
    <row r="13" spans="1:11" s="39" customFormat="1" ht="15" customHeight="1" x14ac:dyDescent="0.25">
      <c r="A13" s="88"/>
      <c r="B13" s="90"/>
      <c r="C13" s="92"/>
      <c r="D13" s="61"/>
      <c r="E13" s="63">
        <v>10</v>
      </c>
      <c r="F13" s="64"/>
      <c r="G13" s="70"/>
      <c r="H13" s="70"/>
      <c r="I13" s="70"/>
      <c r="J13" s="70"/>
      <c r="K13" s="61"/>
    </row>
    <row r="14" spans="1:11" ht="15.75" customHeight="1" x14ac:dyDescent="0.25">
      <c r="A14" s="74" t="s">
        <v>70</v>
      </c>
      <c r="B14" s="80" t="s">
        <v>88</v>
      </c>
      <c r="C14" s="50">
        <v>46356</v>
      </c>
      <c r="E14" s="63">
        <v>11</v>
      </c>
      <c r="F14" s="64"/>
      <c r="G14" s="70"/>
      <c r="H14" s="70"/>
      <c r="I14" s="70"/>
      <c r="J14" s="70"/>
      <c r="K14" s="61"/>
    </row>
    <row r="15" spans="1:11" x14ac:dyDescent="0.25">
      <c r="A15" s="75" t="s">
        <v>13</v>
      </c>
      <c r="B15" s="80" t="s">
        <v>89</v>
      </c>
      <c r="C15" s="50">
        <v>46173</v>
      </c>
      <c r="E15" s="63">
        <v>12</v>
      </c>
      <c r="F15" s="64"/>
      <c r="G15" s="70"/>
      <c r="H15" s="70"/>
      <c r="I15" s="70"/>
      <c r="J15" s="70"/>
    </row>
    <row r="16" spans="1:11" ht="15" customHeight="1" x14ac:dyDescent="0.25">
      <c r="A16" s="76" t="s">
        <v>71</v>
      </c>
      <c r="B16" s="80" t="s">
        <v>91</v>
      </c>
      <c r="C16" s="50">
        <v>46203</v>
      </c>
      <c r="E16" s="63">
        <v>13</v>
      </c>
      <c r="F16" s="64"/>
      <c r="G16" s="70"/>
      <c r="H16" s="70"/>
      <c r="I16" s="70"/>
      <c r="J16" s="70"/>
    </row>
    <row r="17" spans="1:10" ht="15.75" customHeight="1" thickBot="1" x14ac:dyDescent="0.3">
      <c r="A17" s="77" t="s">
        <v>83</v>
      </c>
      <c r="B17" s="81" t="s">
        <v>90</v>
      </c>
      <c r="C17" s="51">
        <v>46691</v>
      </c>
      <c r="E17" s="63">
        <v>14</v>
      </c>
      <c r="F17" s="64"/>
      <c r="G17" s="70"/>
      <c r="H17" s="70"/>
      <c r="I17" s="70"/>
      <c r="J17" s="70"/>
    </row>
    <row r="18" spans="1:10" ht="15" customHeight="1" x14ac:dyDescent="0.25">
      <c r="A18" s="73" t="s">
        <v>79</v>
      </c>
      <c r="B18" s="52"/>
      <c r="C18" s="53"/>
      <c r="E18" s="63">
        <v>15</v>
      </c>
      <c r="F18" s="64"/>
      <c r="G18" s="70"/>
      <c r="H18" s="70"/>
      <c r="I18" s="70"/>
      <c r="J18" s="70"/>
    </row>
    <row r="19" spans="1:10" ht="15.75" customHeight="1" x14ac:dyDescent="0.25">
      <c r="A19" s="54" t="s">
        <v>80</v>
      </c>
      <c r="B19" s="83" t="s">
        <v>93</v>
      </c>
      <c r="C19" s="55"/>
    </row>
    <row r="20" spans="1:10" ht="15.75" thickBot="1" x14ac:dyDescent="0.3">
      <c r="A20" s="49" t="s">
        <v>81</v>
      </c>
      <c r="B20" s="56">
        <v>45701</v>
      </c>
      <c r="C20" s="47"/>
    </row>
    <row r="21" spans="1:10" ht="15" customHeight="1" x14ac:dyDescent="0.25"/>
    <row r="22" spans="1:10" ht="15" customHeight="1" x14ac:dyDescent="0.25">
      <c r="B22" s="71"/>
    </row>
    <row r="23" spans="1:10" ht="15" customHeight="1" x14ac:dyDescent="0.25">
      <c r="B23" s="71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FormSampel!F4</f>
        <v>2025020004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5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FormSampel!G4</f>
        <v>8.0860000000000003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8.0859999999999994E-3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FormSampel!H4</f>
        <v>7.9630000000000001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7.9629999999999996E-3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FormSampel!I4</f>
        <v>9.0510000000000002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9.051E-3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FormSampel!J4</f>
        <v>301.95299999999997</v>
      </c>
      <c r="D29" s="30" t="s">
        <v>49</v>
      </c>
      <c r="E29" s="36">
        <v>1000</v>
      </c>
      <c r="F29" s="118" t="s">
        <v>50</v>
      </c>
      <c r="G29" s="114"/>
      <c r="H29" s="106">
        <f>IF(AND(C30&lt;0.15),"&lt;0.15",C30)</f>
        <v>0.30195299999999997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0.30195299999999997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tabSelected="1" view="pageLayout" topLeftCell="A28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FormSampel!F5</f>
        <v>2025020005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FormSampel!G5</f>
        <v>154.816</v>
      </c>
      <c r="D20" s="30" t="s">
        <v>49</v>
      </c>
      <c r="E20" s="31">
        <v>1000</v>
      </c>
      <c r="F20" s="105" t="s">
        <v>50</v>
      </c>
      <c r="G20" s="104"/>
      <c r="H20" s="106">
        <f>IF(AND(C21&lt;0.15),"&lt;0.15",C21)</f>
        <v>0.15481600000000001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0.15481600000000001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FormSampel!H5</f>
        <v>18.155000000000001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1.8155000000000001E-2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FormSampel!I5</f>
        <v>5.5810000000000004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5.581E-3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FormSampel!J5</f>
        <v>2040.4780000000001</v>
      </c>
      <c r="D29" s="30" t="s">
        <v>49</v>
      </c>
      <c r="E29" s="36">
        <v>1000</v>
      </c>
      <c r="F29" s="118" t="s">
        <v>50</v>
      </c>
      <c r="G29" s="114"/>
      <c r="H29" s="106">
        <f>IF(AND(C30&lt;0.15),"&lt;0.15",C30)</f>
        <v>2.0404780000000002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2.0404780000000002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FormSampel!G6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FormSampel!H6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FormSampel!I6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FormSampel!J6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FormSampel!F7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FormSampel!G7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FormSampel!H7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FormSampel!I7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FormSampel!J7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FormSampel!F8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FormSampel!G8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FormSampel!H8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FormSampel!I8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FormSampel!J8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FormSampel!F9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FormSampel!G9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FormSampel!H9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FormSampel!I9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FormSampel!J9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FormSampel!F10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FormSampel!G10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FormSampel!H10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FormSampel!I10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FormSampel!J10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FormSampel!G11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FormSampel!H11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FormSampel!I11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FormSampel!J11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FormSampel!F12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FormSampel!G12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FormSampel!H12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FormSampel!I12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FormSampel!J12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FormSampel!F13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FormSampel!G13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FormSampel!H13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FormSampel!I13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FormSampel!J13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FormSampel!F14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FormSampel!G14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FormSampel!H14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FormSampel!I14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FormSampel!J14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FormSampel!F15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FormSampel!G15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FormSampel!H15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FormSampel!I15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FormSampel!J15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FormSampel!G16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FormSampel!H16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FormSampel!I16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FormSampel!J16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FormSampel!F17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FormSampel!G17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FormSampel!H17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FormSampel!I17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FormSampel!J17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FormSampel!F18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130225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87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4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5</v>
      </c>
      <c r="B7" s="120"/>
      <c r="C7" s="131" t="s">
        <v>6</v>
      </c>
      <c r="D7" s="120"/>
      <c r="E7" s="120"/>
      <c r="F7" s="42" t="s">
        <v>7</v>
      </c>
      <c r="G7" s="119" t="s">
        <v>8</v>
      </c>
      <c r="H7" s="120"/>
      <c r="I7" s="120"/>
      <c r="J7" s="121"/>
    </row>
    <row r="8" spans="1:26" ht="15" customHeight="1" x14ac:dyDescent="0.25">
      <c r="A8" s="132" t="s">
        <v>9</v>
      </c>
      <c r="B8" s="114"/>
      <c r="C8" s="133" t="s">
        <v>10</v>
      </c>
      <c r="D8" s="114"/>
      <c r="E8" s="4"/>
      <c r="F8" s="38" t="s">
        <v>11</v>
      </c>
      <c r="G8" s="6" t="s">
        <v>12</v>
      </c>
      <c r="H8" s="6" t="s">
        <v>13</v>
      </c>
      <c r="I8" s="122"/>
      <c r="J8" s="123"/>
    </row>
    <row r="9" spans="1:26" ht="30" customHeight="1" x14ac:dyDescent="0.25">
      <c r="A9" s="134" t="s">
        <v>14</v>
      </c>
      <c r="B9" s="114"/>
      <c r="C9" s="133" t="s">
        <v>15</v>
      </c>
      <c r="D9" s="114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2" t="s">
        <v>19</v>
      </c>
      <c r="B10" s="114"/>
      <c r="C10" s="133" t="s">
        <v>20</v>
      </c>
      <c r="D10" s="114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4" t="s">
        <v>24</v>
      </c>
      <c r="B11" s="114"/>
      <c r="C11" s="137" t="s">
        <v>25</v>
      </c>
      <c r="D11" s="114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2" t="s">
        <v>29</v>
      </c>
      <c r="B12" s="114"/>
      <c r="C12" s="133" t="s">
        <v>30</v>
      </c>
      <c r="D12" s="114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2" t="s">
        <v>34</v>
      </c>
      <c r="B13" s="114"/>
      <c r="C13" s="133" t="s">
        <v>35</v>
      </c>
      <c r="D13" s="114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2" t="s">
        <v>39</v>
      </c>
      <c r="B14" s="114"/>
      <c r="C14" s="133" t="s">
        <v>40</v>
      </c>
      <c r="D14" s="114"/>
      <c r="E14" s="7"/>
      <c r="F14" s="135" t="s">
        <v>41</v>
      </c>
      <c r="G14" s="114"/>
      <c r="H14" s="114"/>
      <c r="I14" s="136" t="s">
        <v>42</v>
      </c>
      <c r="J14" s="123"/>
    </row>
    <row r="15" spans="1:26" ht="15" customHeight="1" x14ac:dyDescent="0.25">
      <c r="A15" s="132" t="s">
        <v>43</v>
      </c>
      <c r="B15" s="114"/>
      <c r="C15" s="133" t="s">
        <v>44</v>
      </c>
      <c r="D15" s="114"/>
      <c r="E15" s="7"/>
      <c r="F15" s="43" t="s">
        <v>72</v>
      </c>
      <c r="G15" s="139" t="str">
        <f>FormSampel!B14</f>
        <v>HC 20925173 - 1</v>
      </c>
      <c r="H15" s="139"/>
      <c r="I15" s="94">
        <f>FormSampel!C14</f>
        <v>46356</v>
      </c>
      <c r="J15" s="95"/>
    </row>
    <row r="16" spans="1:26" ht="15" customHeight="1" x14ac:dyDescent="0.25">
      <c r="A16" s="132" t="s">
        <v>45</v>
      </c>
      <c r="B16" s="114"/>
      <c r="C16" s="138" t="s">
        <v>46</v>
      </c>
      <c r="D16" s="114"/>
      <c r="E16" s="114"/>
      <c r="F16" s="44" t="s">
        <v>73</v>
      </c>
      <c r="G16" s="102" t="str">
        <f>FormSampel!B15</f>
        <v>HC 28845526 - 1</v>
      </c>
      <c r="H16" s="102"/>
      <c r="I16" s="94">
        <f>FormSampel!C15</f>
        <v>46173</v>
      </c>
      <c r="J16" s="95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2" t="str">
        <f>FormSampel!B16</f>
        <v>HC 28959376 - 1</v>
      </c>
      <c r="H17" s="102"/>
      <c r="I17" s="94">
        <f>FormSampel!C16</f>
        <v>46203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1" t="str">
        <f>FormSampel!B17</f>
        <v>HC 33253877 - 1</v>
      </c>
      <c r="H18" s="101"/>
      <c r="I18" s="96">
        <f>FormSampel!C17</f>
        <v>46691</v>
      </c>
      <c r="J18" s="97"/>
    </row>
    <row r="19" spans="1:26" x14ac:dyDescent="0.25">
      <c r="A19" s="98" t="s">
        <v>47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48</v>
      </c>
      <c r="B20" s="104"/>
      <c r="C20" s="29">
        <f>FormSampel!G18</f>
        <v>0</v>
      </c>
      <c r="D20" s="30" t="s">
        <v>49</v>
      </c>
      <c r="E20" s="31">
        <v>1000</v>
      </c>
      <c r="F20" s="105" t="s">
        <v>50</v>
      </c>
      <c r="G20" s="104"/>
      <c r="H20" s="106" t="str">
        <f>IF(AND(C21&lt;0.15),"&lt;0.15",C21)</f>
        <v>&lt;0.15</v>
      </c>
      <c r="I20" s="107"/>
      <c r="J20" s="32" t="s">
        <v>51</v>
      </c>
    </row>
    <row r="21" spans="1:26" ht="15.75" customHeight="1" x14ac:dyDescent="0.25">
      <c r="A21" s="33" t="s">
        <v>52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55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48</v>
      </c>
      <c r="B23" s="104"/>
      <c r="C23" s="29">
        <f>FormSampel!H18</f>
        <v>0</v>
      </c>
      <c r="D23" s="30" t="s">
        <v>49</v>
      </c>
      <c r="E23" s="36">
        <v>1000</v>
      </c>
      <c r="F23" s="105" t="s">
        <v>50</v>
      </c>
      <c r="G23" s="104"/>
      <c r="H23" s="106" t="str">
        <f>IF(C24&lt;0.15,"&lt;0.15",C24)</f>
        <v>&lt;0.15</v>
      </c>
      <c r="I23" s="107"/>
      <c r="J23" s="32" t="s">
        <v>51</v>
      </c>
    </row>
    <row r="24" spans="1:26" ht="15.75" customHeight="1" x14ac:dyDescent="0.25">
      <c r="A24" s="33" t="s">
        <v>52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53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48</v>
      </c>
      <c r="B26" s="114"/>
      <c r="C26" s="29">
        <f>FormSampel!I18</f>
        <v>0</v>
      </c>
      <c r="D26" s="30" t="s">
        <v>49</v>
      </c>
      <c r="E26" s="36">
        <v>1000</v>
      </c>
      <c r="F26" s="115" t="s">
        <v>50</v>
      </c>
      <c r="G26" s="104"/>
      <c r="H26" s="106" t="str">
        <f>IF(AND(C27&lt;0.15),"&lt;0.15",C27)</f>
        <v>&lt;0.15</v>
      </c>
      <c r="I26" s="107"/>
      <c r="J26" s="37" t="s">
        <v>51</v>
      </c>
    </row>
    <row r="27" spans="1:26" ht="15.75" customHeight="1" x14ac:dyDescent="0.25">
      <c r="A27" s="33" t="s">
        <v>52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54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48</v>
      </c>
      <c r="B29" s="114"/>
      <c r="C29" s="29">
        <f>FormSampel!J18</f>
        <v>0</v>
      </c>
      <c r="D29" s="30" t="s">
        <v>49</v>
      </c>
      <c r="E29" s="36">
        <v>1000</v>
      </c>
      <c r="F29" s="118" t="s">
        <v>50</v>
      </c>
      <c r="G29" s="114"/>
      <c r="H29" s="106" t="str">
        <f>IF(AND(C30&lt;0.15),"&lt;0.15",C30)</f>
        <v>&lt;0.15</v>
      </c>
      <c r="I29" s="107"/>
      <c r="J29" s="32" t="s">
        <v>51</v>
      </c>
    </row>
    <row r="30" spans="1:26" ht="15.75" customHeight="1" x14ac:dyDescent="0.25">
      <c r="A30" s="33" t="s">
        <v>52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56</v>
      </c>
      <c r="B31" s="120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58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59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60</v>
      </c>
      <c r="B38" s="120"/>
      <c r="C38" s="120"/>
      <c r="D38" s="120"/>
      <c r="E38" s="121"/>
      <c r="F38" s="140" t="str">
        <f>FormSampel!B19</f>
        <v>AMIR / MAISARAH</v>
      </c>
      <c r="G38" s="141"/>
      <c r="H38" s="144">
        <f>FormSampel!B20</f>
        <v>45701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61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2025-02-18T08:38:10Z</cp:lastPrinted>
  <dcterms:created xsi:type="dcterms:W3CDTF">2006-09-16T00:00:00Z</dcterms:created>
  <dcterms:modified xsi:type="dcterms:W3CDTF">2025-02-18T08:38:16Z</dcterms:modified>
</cp:coreProperties>
</file>