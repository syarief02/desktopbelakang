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3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5705AF8F-9354-4BB3-A696-81FA6F810A14}" xr6:coauthVersionLast="36" xr6:coauthVersionMax="47" xr10:uidLastSave="{00000000-0000-0000-0000-000000000000}"/>
  <bookViews>
    <workbookView xWindow="0" yWindow="0" windowWidth="20490" windowHeight="7665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<sst xmlns="http://schemas.openxmlformats.org/spreadsheetml/2006/main" count="85" uniqueCount="70">
  <si>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</si>
  <si>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</si>
  <si>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</si>
  <si>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</si>
  <si>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</si>
  <si>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</si>
  <si>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</si>
  <si>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</si>
  <si>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</si>
  <si>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</si>
  <si>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</si>
  <si>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</si>
  <si>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</si>
  <si>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</si>
  <si>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</si>
  <si>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</si>
  <si>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</si>
  <si>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</si>
  <si>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</si>
  <si>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</si>
  <si>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</si>
  <si>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</si>
  <si>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</si>
  <si>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</si>
  <si>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</si>
  <si>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</si>
  <si>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</si>
  <si>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</si>
  <si>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</si>
  <si>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</si>
  <si>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</si>
  <si>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</si>
  <si>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</si>
  <si>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</si>
  <si>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</si>
  <si>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</si>
  <si>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</si>
  <si>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</si>
  <si>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</si>
  <si>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</si>
  <si>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</si>
  <si>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</si>
  <si>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</si>
  <si>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</si>
  <si>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</si>
  <si>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</si>
  <si>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</si>
  <si>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</si>
  <si>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</si>
  <si>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</si>
  <si>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</si>
  <si>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</si>
  <si>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</si>
  <si>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</si>
  <si>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</si>
  <si>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</si>
  <si>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</si>
  <si>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</si>
  <si>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</si>
  <si>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</si>
  <si>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</si>
  <si>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</si>
  <si>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</si>
  <si>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</si>
  <si>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</si>
  <si>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</si>
  <si>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</si>
  <si>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SPL SPIKE B 151024 CT MAI</t>
  </si>
  <si>
    <t>291024 (1)</t>
  </si>
  <si>
    <t xml:space="preserve">                      MAISARAH       29/10/2024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</si>
</sst>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C36" sqref="C36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 x14ac:dyDescent="0.25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 x14ac:dyDescent="0.25">
      <c r="A3" s="67" t="s">
        <v>2</v>
      </c>
      <c r="B3" s="65"/>
      <c r="C3" s="66"/>
      <c r="D3" s="68" t="s">
        <v>67</v>
      </c>
      <c r="E3" s="65"/>
      <c r="F3" s="65"/>
      <c r="G3" s="65"/>
      <c r="H3" s="65"/>
      <c r="I3" s="65"/>
      <c r="J3" s="66"/>
    </row>
    <row r="4" spans="1:26" x14ac:dyDescent="0.25">
      <c r="A4" s="67" t="s">
        <v>3</v>
      </c>
      <c r="B4" s="65"/>
      <c r="C4" s="66"/>
      <c r="D4" s="69" t="s">
        <v>68</v>
      </c>
      <c r="E4" s="70"/>
      <c r="F4" s="70"/>
      <c r="G4" s="70"/>
      <c r="H4" s="70"/>
      <c r="I4" s="70"/>
      <c r="J4" s="71"/>
    </row>
    <row r="5" spans="1:26" ht="15" customHeight="1" x14ac:dyDescent="0.25">
      <c r="A5" s="72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2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 x14ac:dyDescent="0.25">
      <c r="A7" s="73" t="s">
        <v>6</v>
      </c>
      <c r="B7" s="41"/>
      <c r="C7" s="74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 x14ac:dyDescent="0.25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 x14ac:dyDescent="0.25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 x14ac:dyDescent="0.25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 x14ac:dyDescent="0.25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 x14ac:dyDescent="0.25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8" t="s">
        <v>63</v>
      </c>
      <c r="G18" s="89"/>
      <c r="H18" s="89"/>
      <c r="I18" s="90">
        <v>46142</v>
      </c>
      <c r="J18" s="91"/>
    </row>
    <row r="19" spans="1:26" x14ac:dyDescent="0.25">
      <c r="A19" s="92" t="s">
        <v>48</v>
      </c>
      <c r="B19" s="93"/>
      <c r="C19" s="93"/>
      <c r="D19" s="93"/>
      <c r="E19" s="93"/>
      <c r="F19" s="93"/>
      <c r="G19" s="93"/>
      <c r="H19" s="93"/>
      <c r="I19" s="93"/>
      <c r="J19" s="94"/>
    </row>
    <row r="20" spans="1:26" ht="26.25" customHeight="1" x14ac:dyDescent="0.25">
      <c r="A20" s="80" t="s">
        <v>49</v>
      </c>
      <c r="B20" s="76"/>
      <c r="C20" s="31">
        <v>4824.674</v>
      </c>
      <c r="D20" s="32" t="s">
        <v>50</v>
      </c>
      <c r="E20" s="33">
        <v>1000</v>
      </c>
      <c r="F20" s="75" t="s">
        <v>51</v>
      </c>
      <c r="G20" s="76"/>
      <c r="H20" s="77">
        <f>IF(AND(C21&lt;0.15),"&lt;0.15",C21)</f>
        <v>4.8246739999999999</v>
      </c>
      <c r="I20" s="78"/>
      <c r="J20" s="34" t="s">
        <v>52</v>
      </c>
    </row>
    <row r="21" spans="1:26" ht="15.75" customHeight="1" x14ac:dyDescent="0.25">
      <c r="A21" s="35" t="s">
        <v>53</v>
      </c>
      <c r="B21" s="36"/>
      <c r="C21" s="44">
        <f>C20/1000</f>
        <v>4.8246739999999999</v>
      </c>
      <c r="D21" s="45"/>
      <c r="E21" s="37"/>
      <c r="F21" s="36"/>
      <c r="G21" s="36"/>
      <c r="H21" s="36"/>
      <c r="I21" s="36"/>
      <c r="J21" s="34"/>
    </row>
    <row r="22" spans="1:26" ht="15.75" customHeight="1" x14ac:dyDescent="0.25">
      <c r="A22" s="81" t="s">
        <v>56</v>
      </c>
      <c r="B22" s="82"/>
      <c r="C22" s="82"/>
      <c r="D22" s="82"/>
      <c r="E22" s="82"/>
      <c r="F22" s="82"/>
      <c r="G22" s="82"/>
      <c r="H22" s="82"/>
      <c r="I22" s="82"/>
      <c r="J22" s="8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0" t="s">
        <v>49</v>
      </c>
      <c r="B23" s="76"/>
      <c r="C23" s="31">
        <v>298.69</v>
      </c>
      <c r="D23" s="32" t="s">
        <v>50</v>
      </c>
      <c r="E23" s="38">
        <v>1000</v>
      </c>
      <c r="F23" s="75" t="s">
        <v>51</v>
      </c>
      <c r="G23" s="76"/>
      <c r="H23" s="77">
        <f>IF(C24&lt;0.15,"&lt;0.15",C24)</f>
        <v>0.29869000000000001</v>
      </c>
      <c r="I23" s="78"/>
      <c r="J23" s="34" t="s">
        <v>52</v>
      </c>
    </row>
    <row r="24" spans="1:26" ht="15.75" customHeight="1" x14ac:dyDescent="0.25">
      <c r="A24" s="35" t="s">
        <v>53</v>
      </c>
      <c r="B24" s="36"/>
      <c r="C24" s="44">
        <f>C23/1000</f>
        <v>0.29869000000000001</v>
      </c>
      <c r="D24" s="45"/>
      <c r="E24" s="37"/>
      <c r="F24" s="36"/>
      <c r="G24" s="36"/>
      <c r="H24" s="36"/>
      <c r="I24" s="36"/>
      <c r="J24" s="34"/>
    </row>
    <row r="25" spans="1:26" ht="15.75" customHeight="1" x14ac:dyDescent="0.25">
      <c r="A25" s="81" t="s">
        <v>54</v>
      </c>
      <c r="B25" s="82"/>
      <c r="C25" s="82"/>
      <c r="D25" s="82"/>
      <c r="E25" s="82"/>
      <c r="F25" s="82"/>
      <c r="G25" s="82"/>
      <c r="H25" s="82"/>
      <c r="I25" s="82"/>
      <c r="J25" s="8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79" t="s">
        <v>49</v>
      </c>
      <c r="B26" s="48"/>
      <c r="C26" s="31">
        <v>483.26</v>
      </c>
      <c r="D26" s="32" t="s">
        <v>50</v>
      </c>
      <c r="E26" s="38">
        <v>1000</v>
      </c>
      <c r="F26" s="84" t="s">
        <v>51</v>
      </c>
      <c r="G26" s="76"/>
      <c r="H26" s="77">
        <f>IF(AND(C27&lt;0.15),"&lt;0.15",C27)</f>
        <v>0.48325999999999997</v>
      </c>
      <c r="I26" s="78"/>
      <c r="J26" s="39" t="s">
        <v>52</v>
      </c>
    </row>
    <row r="27" spans="1:26" ht="15.75" customHeight="1" x14ac:dyDescent="0.25">
      <c r="A27" s="35" t="s">
        <v>53</v>
      </c>
      <c r="B27" s="36"/>
      <c r="C27" s="85">
        <f>C26/1000</f>
        <v>0.48325999999999997</v>
      </c>
      <c r="D27" s="86"/>
      <c r="E27" s="37"/>
      <c r="F27" s="36"/>
      <c r="G27" s="36"/>
      <c r="H27" s="36"/>
      <c r="I27" s="36"/>
      <c r="J27" s="34"/>
    </row>
    <row r="28" spans="1:26" ht="15.75" customHeight="1" x14ac:dyDescent="0.25">
      <c r="A28" s="81" t="s">
        <v>55</v>
      </c>
      <c r="B28" s="82"/>
      <c r="C28" s="82"/>
      <c r="D28" s="82"/>
      <c r="E28" s="82"/>
      <c r="F28" s="82"/>
      <c r="G28" s="82"/>
      <c r="H28" s="82"/>
      <c r="I28" s="82"/>
      <c r="J28" s="8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79" t="s">
        <v>49</v>
      </c>
      <c r="B29" s="48"/>
      <c r="C29" s="31">
        <v>10947.08</v>
      </c>
      <c r="D29" s="32" t="s">
        <v>50</v>
      </c>
      <c r="E29" s="38">
        <v>1000</v>
      </c>
      <c r="F29" s="87" t="s">
        <v>51</v>
      </c>
      <c r="G29" s="48"/>
      <c r="H29" s="77">
        <f>IF(AND(C30&lt;0.15),"&lt;0.15",C30)</f>
        <v>10.94708</v>
      </c>
      <c r="I29" s="78"/>
      <c r="J29" s="34" t="s">
        <v>52</v>
      </c>
    </row>
    <row r="30" spans="1:26" ht="15.75" customHeight="1" x14ac:dyDescent="0.25">
      <c r="A30" s="35" t="s">
        <v>53</v>
      </c>
      <c r="B30" s="36"/>
      <c r="C30" s="44">
        <f>C29/1000</f>
        <v>10.94708</v>
      </c>
      <c r="D30" s="45"/>
      <c r="E30" s="37"/>
      <c r="F30" s="36"/>
      <c r="G30" s="36"/>
      <c r="H30" s="36"/>
      <c r="I30" s="36"/>
      <c r="J30" s="34"/>
    </row>
    <row r="31" spans="1:26" ht="15.75" customHeight="1" x14ac:dyDescent="0.25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 x14ac:dyDescent="0.25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 x14ac:dyDescent="0.25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 x14ac:dyDescent="0.25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 x14ac:dyDescent="0.25">
      <c r="A39" s="42"/>
      <c r="B39" s="43"/>
      <c r="C39" s="43"/>
      <c r="D39" s="43"/>
      <c r="E39" s="52"/>
      <c r="F39" s="26" t="s">
        <v>69</v>
      </c>
      <c r="G39" s="27"/>
      <c r="H39" s="27"/>
      <c r="I39" s="27"/>
      <c r="J39" s="28"/>
    </row>
    <row r="40" spans="1:26" ht="15.75" customHeight="1" x14ac:dyDescent="0.25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 x14ac:dyDescent="0.25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2024-10-22T00:52:49Z</cp:lastPrinted>
  <dcterms:created xsi:type="dcterms:W3CDTF">2006-09-16T00:00:00Z</dcterms:created>
  <dcterms:modified xsi:type="dcterms:W3CDTF">2024-10-30T01:41:12Z</dcterms:modified>
</cp:coreProperties>
</file>