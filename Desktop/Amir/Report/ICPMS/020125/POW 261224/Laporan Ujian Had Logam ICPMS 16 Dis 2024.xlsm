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20125\POW 261224\"/>
    </mc:Choice>
  </mc:AlternateContent>
  <xr:revisionPtr revIDLastSave="0" documentId="13_ncr:1_{F5C36869-073F-4073-91EC-233F491FC036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<sst xmlns="http://schemas.openxmlformats.org/spreadsheetml/2006/main" count="1263" uniqueCount="94">
  <si>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</si>
  <si>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</si>
  <si>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</si>
  <si>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</si>
  <si>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</si>
  <si>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</si>
  <si>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</si>
  <si>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</si>
  <si>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</si>
  <si>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</si>
  <si>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</si>
  <si>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</si>
  <si>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</si>
  <si>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</si>
  <si>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</si>
  <si>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</si>
  <si>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</si>
  <si>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</si>
  <si>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</si>
  <si>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</si>
  <si>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</si>
  <si>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</si>
  <si>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</si>
  <si>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</si>
  <si>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</si>
  <si>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</si>
  <si>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</si>
  <si>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</si>
  <si>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</si>
  <si>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</si>
  <si>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</si>
  <si>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</si>
  <si>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</si>
  <si>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</si>
  <si>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</si>
  <si>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</si>
  <si>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</si>
  <si>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</si>
  <si>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</si>
  <si>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</si>
  <si>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</si>
  <si>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</si>
  <si>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</si>
  <si>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</si>
  <si>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</si>
  <si>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</si>
  <si>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</si>
  <si>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</si>
  <si>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</si>
  <si>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</si>
  <si>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</si>
  <si>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</si>
  <si>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</si>
  <si>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</si>
  <si>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</si>
  <si>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</si>
  <si>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</si>
  <si>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</si>
  <si>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</si>
  <si>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</si>
  <si>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</si>
  <si>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</si>
  <si>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</si>
  <si>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</si>
  <si>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</si>
  <si>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</si>
  <si>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</si>
  <si>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</si>
  <si>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</si>
  <si>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</si>
  <si>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</si>
  <si>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</si>
  <si>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</si>
  <si>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</si>
  <si>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</si>
  <si>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</si>
  <si>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</si>
  <si>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</si>
  <si>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</si>
  <si>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</si>
  <si>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</si>
  <si>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</si>
  <si>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</si>
  <si>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</si>
  <si>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</si>
  <si>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</si>
  <si>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</si>
  <si>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</si>
  <si>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</si>
  <si>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</si>
  <si>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</si>
  <si>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</si>
  <si>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020125</t>
  </si>
  <si>
    <t>PERMIT / AMIR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</si>
</sst>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3" fillId="0" borderId="22" xfId="0" applyFont="1" applyBorder="1" applyAlignment="1">
      <alignment horizontal="left"/>
    </xf>
    <xf numFmtId="0" fontId="0" fillId="0" borderId="17" xfId="0" applyFont="1" applyBorder="1" applyAlignment="1"/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3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3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5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4" fillId="8" borderId="20" xfId="0" applyFont="1" applyFill="1" applyBorder="1" applyAlignment="1"/>
    <xf numFmtId="0" fontId="14" fillId="8" borderId="19" xfId="0" applyFont="1" applyFill="1" applyBorder="1" applyAlignment="1">
      <alignment horizontal="left"/>
    </xf>
    <xf numFmtId="0" fontId="3" fillId="4" borderId="14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3" fillId="0" borderId="21" xfId="0" applyFont="1" applyBorder="1" applyAlignment="1"/>
    <xf numFmtId="0" fontId="0" fillId="0" borderId="38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14" fillId="8" borderId="34" xfId="0" applyFont="1" applyFill="1" applyBorder="1" applyAlignment="1">
      <alignment horizontal="center" vertical="center"/>
    </xf>
    <xf numFmtId="0" fontId="14" fillId="8" borderId="30" xfId="0" applyFont="1" applyFill="1" applyBorder="1" applyAlignment="1">
      <alignment horizontal="center" vertical="center"/>
    </xf>
    <xf numFmtId="0" fontId="14" fillId="8" borderId="35" xfId="0" applyFont="1" applyFill="1" applyBorder="1" applyAlignment="1">
      <alignment horizontal="center" vertical="center"/>
    </xf>
    <xf numFmtId="0" fontId="14" fillId="8" borderId="2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1" fillId="0" borderId="32" xfId="0" applyNumberFormat="1" applyFont="1" applyBorder="1" applyAlignment="1"/>
    <xf numFmtId="0" fontId="1" fillId="0" borderId="30" xfId="0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workbookViewId="0">
      <selection activeCell="F12" sqref="F12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2" customWidth="1"/>
    <col min="5" max="5" width="4" customWidth="1"/>
    <col min="6" max="6" width="24" style="63" customWidth="1"/>
    <col min="7" max="10" width="9.140625" style="66"/>
  </cols>
  <sheetData>
    <row r="1" spans="1:11" ht="15.75" customHeight="1" thickBot="1" x14ac:dyDescent="0.3"/>
    <row r="2" spans="1:11" ht="15.75" customHeight="1" x14ac:dyDescent="0.25">
      <c r="A2" s="73" t="s">
        <v>3</v>
      </c>
      <c r="B2" s="152" t="s">
        <v>92</v>
      </c>
      <c r="E2" s="82" t="s">
        <v>88</v>
      </c>
      <c r="F2" s="82" t="s">
        <v>89</v>
      </c>
      <c r="G2" s="81" t="s">
        <v>90</v>
      </c>
      <c r="H2" s="81"/>
      <c r="I2" s="81"/>
      <c r="J2" s="81"/>
    </row>
    <row r="3" spans="1:11" ht="15" customHeight="1" x14ac:dyDescent="0.25">
      <c r="A3" s="90" t="s">
        <v>62</v>
      </c>
      <c r="B3" s="90"/>
      <c r="E3" s="82"/>
      <c r="F3" s="83"/>
      <c r="G3" s="67" t="s">
        <v>70</v>
      </c>
      <c r="H3" s="68" t="s">
        <v>78</v>
      </c>
      <c r="I3" s="69" t="s">
        <v>13</v>
      </c>
      <c r="J3" s="70" t="s">
        <v>71</v>
      </c>
    </row>
    <row r="4" spans="1:11" ht="15.75" customHeight="1" x14ac:dyDescent="0.25">
      <c r="A4" s="58" t="s">
        <v>63</v>
      </c>
      <c r="B4" s="46" t="b">
        <v>0</v>
      </c>
      <c r="E4" s="64">
        <v>1</v>
      </c>
      <c r="F4" s="65">
        <v>2024120024</v>
      </c>
      <c r="G4" s="71">
        <v>159.464</v>
      </c>
      <c r="H4" s="71">
        <v>17.960999999999999</v>
      </c>
      <c r="I4" s="71">
        <v>21.640999999999998</v>
      </c>
      <c r="J4" s="71">
        <v>377.15300000000002</v>
      </c>
      <c r="K4" s="62"/>
    </row>
    <row r="5" spans="1:11" x14ac:dyDescent="0.25">
      <c r="A5" s="79" t="s">
        <v>64</v>
      </c>
      <c r="B5" s="80" t="b">
        <v>1</v>
      </c>
      <c r="E5" s="64">
        <v>2</v>
      </c>
      <c r="F5" s="65">
        <v>2024120079</v>
      </c>
      <c r="G5" s="71">
        <v>102.03100000000001</v>
      </c>
      <c r="H5" s="71">
        <v>125.489</v>
      </c>
      <c r="I5" s="71">
        <v>11.253</v>
      </c>
      <c r="J5" s="71">
        <v>646.70600000000002</v>
      </c>
      <c r="K5" s="62"/>
    </row>
    <row r="6" spans="1:11" x14ac:dyDescent="0.25">
      <c r="A6" s="90" t="s">
        <v>65</v>
      </c>
      <c r="B6" s="90"/>
      <c r="E6" s="64">
        <v>3</v>
      </c>
      <c r="F6" s="65">
        <v>2024120085</v>
      </c>
      <c r="G6" s="71">
        <v>251.351</v>
      </c>
      <c r="H6" s="71">
        <v>91.87</v>
      </c>
      <c r="I6" s="71">
        <v>19.503</v>
      </c>
      <c r="J6" s="71">
        <v>2446.7049999999999</v>
      </c>
      <c r="K6" s="62"/>
    </row>
    <row r="7" spans="1:11" x14ac:dyDescent="0.25">
      <c r="A7" s="58" t="s">
        <v>66</v>
      </c>
      <c r="B7" s="59" t="b">
        <v>1</v>
      </c>
      <c r="E7" s="64">
        <v>4</v>
      </c>
      <c r="F7" s="65">
        <v>2024120087</v>
      </c>
      <c r="G7" s="71">
        <v>624.85400000000004</v>
      </c>
      <c r="H7" s="71">
        <v>127.858</v>
      </c>
      <c r="I7" s="71">
        <v>20.169</v>
      </c>
      <c r="J7" s="71">
        <v>1275.212</v>
      </c>
      <c r="K7" s="62"/>
    </row>
    <row r="8" spans="1:11" x14ac:dyDescent="0.25">
      <c r="A8" s="79" t="s">
        <v>86</v>
      </c>
      <c r="B8" s="80" t="b">
        <v>0</v>
      </c>
      <c r="E8" s="64">
        <v>5</v>
      </c>
      <c r="F8" s="65">
        <v>2024120088</v>
      </c>
      <c r="G8" s="71">
        <v>59.308</v>
      </c>
      <c r="H8" s="71">
        <v>42.244</v>
      </c>
      <c r="I8" s="71">
        <v>4.9020000000000001</v>
      </c>
      <c r="J8" s="71">
        <v>885.01499999999999</v>
      </c>
      <c r="K8" s="62"/>
    </row>
    <row r="9" spans="1:11" x14ac:dyDescent="0.25">
      <c r="A9" s="90" t="s">
        <v>67</v>
      </c>
      <c r="B9" s="90"/>
      <c r="E9" s="64">
        <v>6</v>
      </c>
      <c r="F9" s="65"/>
      <c r="G9" s="71"/>
      <c r="H9" s="71"/>
      <c r="I9" s="71"/>
      <c r="J9" s="71"/>
      <c r="K9" s="62"/>
    </row>
    <row r="10" spans="1:11" x14ac:dyDescent="0.25">
      <c r="A10" s="58" t="s">
        <v>68</v>
      </c>
      <c r="B10" s="59" t="b">
        <v>1</v>
      </c>
      <c r="E10" s="64">
        <v>7</v>
      </c>
      <c r="F10" s="65"/>
      <c r="G10" s="71"/>
      <c r="H10" s="71"/>
      <c r="I10" s="71"/>
      <c r="J10" s="71"/>
      <c r="K10" s="62"/>
    </row>
    <row r="11" spans="1:11" ht="15.75" customHeight="1" thickBot="1" x14ac:dyDescent="0.3">
      <c r="A11" s="48" t="s">
        <v>69</v>
      </c>
      <c r="B11" s="60" t="b">
        <v>0</v>
      </c>
      <c r="E11" s="64">
        <v>8</v>
      </c>
      <c r="F11" s="65"/>
      <c r="G11" s="71"/>
      <c r="H11" s="71"/>
      <c r="I11" s="71"/>
      <c r="J11" s="71"/>
      <c r="K11" s="62"/>
    </row>
    <row r="12" spans="1:11" ht="15" customHeight="1" x14ac:dyDescent="0.25">
      <c r="A12" s="84" t="s">
        <v>41</v>
      </c>
      <c r="B12" s="86" t="s">
        <v>76</v>
      </c>
      <c r="C12" s="88" t="s">
        <v>77</v>
      </c>
      <c r="E12" s="64">
        <v>9</v>
      </c>
      <c r="F12" s="65"/>
      <c r="G12" s="71"/>
      <c r="H12" s="71"/>
      <c r="I12" s="71"/>
      <c r="J12" s="71"/>
      <c r="K12" s="62"/>
    </row>
    <row r="13" spans="1:11" s="39" customFormat="1" ht="15" customHeight="1" x14ac:dyDescent="0.25">
      <c r="A13" s="85"/>
      <c r="B13" s="87"/>
      <c r="C13" s="89"/>
      <c r="D13" s="62"/>
      <c r="E13" s="64">
        <v>10</v>
      </c>
      <c r="F13" s="65"/>
      <c r="G13" s="71"/>
      <c r="H13" s="71"/>
      <c r="I13" s="71"/>
      <c r="J13" s="71"/>
      <c r="K13" s="62"/>
    </row>
    <row r="14" spans="1:11" ht="15.75" customHeight="1" x14ac:dyDescent="0.25">
      <c r="A14" s="75" t="s">
        <v>70</v>
      </c>
      <c r="B14" s="46" t="s">
        <v>79</v>
      </c>
      <c r="C14" s="51">
        <v>45808</v>
      </c>
      <c r="E14" s="64">
        <v>11</v>
      </c>
      <c r="F14" s="65"/>
      <c r="G14" s="71"/>
      <c r="H14" s="71"/>
      <c r="I14" s="71"/>
      <c r="J14" s="71"/>
      <c r="K14" s="62"/>
    </row>
    <row r="15" spans="1:11" x14ac:dyDescent="0.25">
      <c r="A15" s="76" t="s">
        <v>13</v>
      </c>
      <c r="B15" s="46" t="s">
        <v>80</v>
      </c>
      <c r="C15" s="51">
        <v>45716</v>
      </c>
      <c r="E15" s="64">
        <v>12</v>
      </c>
      <c r="F15" s="65"/>
      <c r="G15" s="71"/>
      <c r="H15" s="71"/>
      <c r="I15" s="71"/>
      <c r="J15" s="71"/>
    </row>
    <row r="16" spans="1:11" ht="15" customHeight="1" x14ac:dyDescent="0.25">
      <c r="A16" s="77" t="s">
        <v>71</v>
      </c>
      <c r="B16" s="46" t="s">
        <v>81</v>
      </c>
      <c r="C16" s="51">
        <v>45688</v>
      </c>
      <c r="E16" s="64">
        <v>13</v>
      </c>
      <c r="F16" s="65"/>
      <c r="G16" s="71"/>
      <c r="H16" s="71"/>
      <c r="I16" s="71"/>
      <c r="J16" s="71"/>
    </row>
    <row r="17" spans="1:10" ht="15.75" customHeight="1" thickBot="1" x14ac:dyDescent="0.3">
      <c r="A17" s="78" t="s">
        <v>87</v>
      </c>
      <c r="B17" s="50" t="s">
        <v>82</v>
      </c>
      <c r="C17" s="52">
        <v>46142</v>
      </c>
      <c r="E17" s="64">
        <v>14</v>
      </c>
      <c r="F17" s="65"/>
      <c r="G17" s="71"/>
      <c r="H17" s="71"/>
      <c r="I17" s="71"/>
      <c r="J17" s="71"/>
    </row>
    <row r="18" spans="1:10" ht="15" customHeight="1" x14ac:dyDescent="0.25">
      <c r="A18" s="74" t="s">
        <v>83</v>
      </c>
      <c r="B18" s="53"/>
      <c r="C18" s="54"/>
      <c r="E18" s="64">
        <v>15</v>
      </c>
      <c r="F18" s="65"/>
      <c r="G18" s="71"/>
      <c r="H18" s="71"/>
      <c r="I18" s="71"/>
      <c r="J18" s="71"/>
    </row>
    <row r="19" spans="1:10" ht="15.75" customHeight="1" x14ac:dyDescent="0.25">
      <c r="A19" s="55" t="s">
        <v>84</v>
      </c>
      <c r="B19" s="153" t="s">
        <v>93</v>
      </c>
      <c r="C19" s="56"/>
    </row>
    <row r="20" spans="1:10" ht="15.75" thickBot="1" x14ac:dyDescent="0.3">
      <c r="A20" s="49" t="s">
        <v>85</v>
      </c>
      <c r="B20" s="57"/>
      <c r="C20" s="47"/>
    </row>
    <row r="21" spans="1:10" ht="15" customHeight="1" x14ac:dyDescent="0.25"/>
    <row r="22" spans="1:10" ht="15" customHeight="1" x14ac:dyDescent="0.25">
      <c r="B22" s="72"/>
    </row>
    <row r="23" spans="1:10" ht="15" customHeight="1" x14ac:dyDescent="0.25">
      <c r="B23" s="72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I13" sqref="I1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FormSampel!F4</f>
        <v>2024120024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5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FormSampel!G4</f>
        <v>159.464</v>
      </c>
      <c r="D20" s="30" t="s">
        <v>49</v>
      </c>
      <c r="E20" s="31">
        <v>1000</v>
      </c>
      <c r="F20" s="102" t="s">
        <v>50</v>
      </c>
      <c r="G20" s="101"/>
      <c r="H20" s="103">
        <f>IF(AND(C21&lt;0.15),"&lt;0.15",C21)</f>
        <v>0.15946399999999999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0.15946399999999999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FormSampel!H4</f>
        <v>17.960999999999999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1.7960999999999998E-2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FormSampel!I4</f>
        <v>21.640999999999998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2.1640999999999997E-2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FormSampel!J4</f>
        <v>377.15300000000002</v>
      </c>
      <c r="D29" s="30" t="s">
        <v>49</v>
      </c>
      <c r="E29" s="36">
        <v>1000</v>
      </c>
      <c r="F29" s="115" t="s">
        <v>50</v>
      </c>
      <c r="G29" s="111"/>
      <c r="H29" s="103">
        <f>IF(AND(C30&lt;0.15),"&lt;0.15",C30)</f>
        <v>0.37715300000000002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0.37715300000000002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FormSampel!F5</f>
        <v>2024120079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FormSampel!G5</f>
        <v>102.03100000000001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0.10203100000000001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FormSampel!H5</f>
        <v>125.489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0.12548900000000002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FormSampel!I5</f>
        <v>11.253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1.1253000000000001E-2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FormSampel!J5</f>
        <v>646.70600000000002</v>
      </c>
      <c r="D29" s="30" t="s">
        <v>49</v>
      </c>
      <c r="E29" s="36">
        <v>1000</v>
      </c>
      <c r="F29" s="115" t="s">
        <v>50</v>
      </c>
      <c r="G29" s="111"/>
      <c r="H29" s="103">
        <f>IF(AND(C30&lt;0.15),"&lt;0.15",C30)</f>
        <v>0.646706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0.646706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FormSampel!F6</f>
        <v>2024120085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FormSampel!G6</f>
        <v>251.351</v>
      </c>
      <c r="D20" s="30" t="s">
        <v>49</v>
      </c>
      <c r="E20" s="31">
        <v>1000</v>
      </c>
      <c r="F20" s="102" t="s">
        <v>50</v>
      </c>
      <c r="G20" s="101"/>
      <c r="H20" s="103">
        <f>IF(AND(C21&lt;0.15),"&lt;0.15",C21)</f>
        <v>0.25135099999999999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0.25135099999999999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FormSampel!H6</f>
        <v>91.87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9.1870000000000007E-2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FormSampel!I6</f>
        <v>19.503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1.9503E-2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FormSampel!J6</f>
        <v>2446.7049999999999</v>
      </c>
      <c r="D29" s="30" t="s">
        <v>49</v>
      </c>
      <c r="E29" s="36">
        <v>1000</v>
      </c>
      <c r="F29" s="115" t="s">
        <v>50</v>
      </c>
      <c r="G29" s="111"/>
      <c r="H29" s="103">
        <f>IF(AND(C30&lt;0.15),"&lt;0.15",C30)</f>
        <v>2.4467050000000001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2.4467050000000001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FormSampel!F7</f>
        <v>2024120087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FormSampel!G7</f>
        <v>624.85400000000004</v>
      </c>
      <c r="D20" s="30" t="s">
        <v>49</v>
      </c>
      <c r="E20" s="31">
        <v>1000</v>
      </c>
      <c r="F20" s="102" t="s">
        <v>50</v>
      </c>
      <c r="G20" s="101"/>
      <c r="H20" s="103">
        <f>IF(AND(C21&lt;0.15),"&lt;0.15",C21)</f>
        <v>0.62485400000000002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0.62485400000000002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FormSampel!H7</f>
        <v>127.858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0.127858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FormSampel!I7</f>
        <v>20.169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2.0168999999999999E-2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FormSampel!J7</f>
        <v>1275.212</v>
      </c>
      <c r="D29" s="30" t="s">
        <v>49</v>
      </c>
      <c r="E29" s="36">
        <v>1000</v>
      </c>
      <c r="F29" s="115" t="s">
        <v>50</v>
      </c>
      <c r="G29" s="111"/>
      <c r="H29" s="103">
        <f>IF(AND(C30&lt;0.15),"&lt;0.15",C30)</f>
        <v>1.275212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1.275212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FormSampel!F8</f>
        <v>2024120088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FormSampel!G8</f>
        <v>59.308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5.9308E-2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FormSampel!H8</f>
        <v>42.244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4.2243999999999997E-2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FormSampel!I8</f>
        <v>4.9020000000000001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4.9020000000000001E-3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FormSampel!J8</f>
        <v>885.01499999999999</v>
      </c>
      <c r="D29" s="30" t="s">
        <v>49</v>
      </c>
      <c r="E29" s="36">
        <v>1000</v>
      </c>
      <c r="F29" s="115" t="s">
        <v>50</v>
      </c>
      <c r="G29" s="111"/>
      <c r="H29" s="103">
        <f>IF(AND(C30&lt;0.15),"&lt;0.15",C30)</f>
        <v>0.885015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0.885015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FormSampel!F9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FormSampel!G9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FormSampel!H9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FormSampel!I9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FormSampel!J9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FormSampel!F10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FormSampel!G10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FormSampel!H10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FormSampel!I10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FormSampel!J10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FormSampel!F11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FormSampel!G11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FormSampel!H11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FormSampel!I11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FormSampel!J11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FormSampel!F12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FormSampel!G12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FormSampel!H12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FormSampel!I12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FormSampel!J12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FormSampel!F13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FormSampel!G13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FormSampel!H13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FormSampel!I13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FormSampel!J13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FormSampel!F14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FormSampel!G14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FormSampel!H14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FormSampel!I14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FormSampel!J14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FormSampel!F15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FormSampel!G15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FormSampel!H15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FormSampel!I15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FormSampel!J15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FormSampel!F16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FormSampel!G16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FormSampel!H16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FormSampel!I16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FormSampel!J16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FormSampel!F17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FormSampel!G17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FormSampel!H17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FormSampel!I17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FormSampel!J17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FormSampel!F18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020125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91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FormSampel!G18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FormSampel!H18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FormSampel!I18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FormSampel!J18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 t="str">
        <f>FormSampel!B19</f>
        <v>PERMIT / AMIR</v>
      </c>
      <c r="G38" s="138"/>
      <c r="H38" s="141">
        <f>FormSampel!B20</f>
        <v>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2025-01-08T08:04:46Z</cp:lastPrinted>
  <dcterms:created xsi:type="dcterms:W3CDTF">2006-09-16T00:00:00Z</dcterms:created>
  <dcterms:modified xsi:type="dcterms:W3CDTF">2025-01-08T08:06:28Z</dcterms:modified>
</cp:coreProperties>
</file>