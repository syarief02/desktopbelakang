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IQC POW 130924\"/>
    </mc:Choice>
  </mc:AlternateContent>
  <xr:revisionPtr revIDLastSave="0" documentId="13_ncr:1_{37D249AB-09FC-4AA5-8CD4-1D4D359633A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<sst xmlns="http://schemas.openxmlformats.org/spreadsheetml/2006/main" count="1264" uniqueCount="95">
  <si>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</si>
  <si>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</si>
  <si>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</si>
  <si>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</si>
  <si>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</si>
  <si>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</si>
  <si>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</si>
  <si>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</si>
  <si>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</si>
  <si>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</si>
  <si>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</si>
  <si>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</si>
  <si>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</si>
  <si>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</si>
  <si>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</si>
  <si>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</si>
  <si>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</si>
  <si>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</si>
  <si>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</si>
  <si>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</si>
  <si>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</si>
  <si>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</si>
  <si>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</si>
  <si>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</si>
  <si>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</si>
  <si>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</si>
  <si>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</si>
  <si>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</si>
  <si>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</si>
  <si>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</si>
  <si>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</si>
  <si>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</si>
  <si>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</si>
  <si>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</si>
  <si>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</si>
  <si>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</si>
  <si>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</si>
  <si>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</si>
  <si>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</si>
  <si>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</si>
  <si>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</si>
  <si>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</si>
  <si>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</si>
  <si>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</si>
  <si>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</si>
  <si>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</si>
  <si>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</si>
  <si>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</si>
  <si>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</si>
  <si>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</si>
  <si>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</si>
  <si>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</si>
  <si>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</si>
  <si>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</si>
  <si>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</si>
  <si>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</si>
  <si>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</si>
  <si>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</si>
  <si>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</si>
  <si>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</si>
  <si>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</si>
  <si>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</si>
  <si>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</si>
  <si>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</si>
  <si>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</si>
  <si>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</si>
  <si>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</si>
  <si>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</si>
  <si>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</si>
  <si>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</si>
  <si>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</si>
  <si>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</si>
  <si>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</si>
  <si>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</si>
  <si>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</si>
  <si>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</si>
  <si>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</si>
  <si>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</si>
  <si>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</si>
  <si>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</si>
  <si>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</si>
  <si>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</si>
  <si>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</si>
  <si>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</si>
  <si>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</si>
  <si>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</si>
  <si>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</si>
  <si>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</si>
  <si>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</si>
  <si>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</si>
  <si>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</si>
  <si>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</si>
  <si>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</si>
  <si>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250924 (2)</t>
  </si>
  <si>
    <t>PERMIT     AMIR    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</si>
</sst>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1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39" xfId="0" applyFont="1" applyBorder="1" applyAlignment="1">
      <alignment horizontal="center"/>
    </xf>
    <xf numFmtId="0" fontId="0" fillId="4" borderId="40" xfId="0" applyFont="1" applyFill="1" applyBorder="1" applyAlignment="1">
      <alignment horizontal="center" vertical="center"/>
    </xf>
    <xf numFmtId="0" fontId="0" fillId="6" borderId="40" xfId="0" applyFont="1" applyFill="1" applyBorder="1" applyAlignment="1">
      <alignment horizontal="center" vertical="center"/>
    </xf>
    <xf numFmtId="0" fontId="0" fillId="7" borderId="40" xfId="0" applyFont="1" applyFill="1" applyBorder="1" applyAlignment="1">
      <alignment horizontal="center" vertical="center"/>
    </xf>
    <xf numFmtId="0" fontId="0" fillId="8" borderId="40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0" fontId="1" fillId="0" borderId="33" xfId="0" applyFont="1" applyBorder="1" applyAlignment="1"/>
    <xf numFmtId="167" fontId="0" fillId="0" borderId="34" xfId="0" applyNumberFormat="1" applyFont="1" applyBorder="1" applyAlignment="1"/>
    <xf numFmtId="164" fontId="0" fillId="0" borderId="12" xfId="0" applyNumberFormat="1" applyFont="1" applyBorder="1" applyAlignment="1"/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abSelected="1" workbookViewId="0">
      <selection activeCell="J16" sqref="J16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1" customWidth="1"/>
    <col min="5" max="5" width="4" customWidth="1"/>
    <col min="6" max="6" width="24" customWidth="1"/>
  </cols>
  <sheetData>
    <row r="1" spans="1:11" ht="15.75" customHeight="1" thickBot="1" x14ac:dyDescent="0.3"/>
    <row r="2" spans="1:11" ht="15.75" customHeight="1" thickBot="1" x14ac:dyDescent="0.3">
      <c r="A2" s="60" t="s">
        <v>3</v>
      </c>
      <c r="B2" s="63" t="s">
        <v>93</v>
      </c>
      <c r="E2" s="79" t="s">
        <v>90</v>
      </c>
      <c r="F2" s="79" t="s">
        <v>91</v>
      </c>
      <c r="G2" s="79" t="s">
        <v>92</v>
      </c>
      <c r="H2" s="79"/>
      <c r="I2" s="79"/>
      <c r="J2" s="79"/>
    </row>
    <row r="3" spans="1:11" ht="15" customHeight="1" x14ac:dyDescent="0.25">
      <c r="A3" s="59" t="s">
        <v>63</v>
      </c>
      <c r="B3" s="64" t="s">
        <v>65</v>
      </c>
      <c r="E3" s="79"/>
      <c r="F3" s="80"/>
      <c r="G3" s="75" t="s">
        <v>72</v>
      </c>
      <c r="H3" s="76" t="s">
        <v>80</v>
      </c>
      <c r="I3" s="77" t="s">
        <v>14</v>
      </c>
      <c r="J3" s="78" t="s">
        <v>73</v>
      </c>
    </row>
    <row r="4" spans="1:11" ht="15.75" customHeight="1" x14ac:dyDescent="0.25">
      <c r="A4" s="61" t="s">
        <v>64</v>
      </c>
      <c r="B4" s="46" t="b">
        <v>0</v>
      </c>
      <c r="E4" s="74">
        <v>1</v>
      </c>
      <c r="F4" s="46">
        <v>2024090002</v>
      </c>
      <c r="G4" s="150">
        <v>210.81700000000001</v>
      </c>
      <c r="H4" s="150">
        <v>47.701999999999998</v>
      </c>
      <c r="I4" s="150">
        <v>14.832000000000001</v>
      </c>
      <c r="J4" s="150">
        <v>499.62599999999998</v>
      </c>
      <c r="K4" s="71"/>
    </row>
    <row r="5" spans="1:11" ht="15.75" thickBot="1" x14ac:dyDescent="0.3">
      <c r="A5" s="47" t="s">
        <v>66</v>
      </c>
      <c r="B5" s="66" t="b">
        <v>1</v>
      </c>
      <c r="E5" s="74">
        <v>2</v>
      </c>
      <c r="F5" s="46">
        <v>2024090003</v>
      </c>
      <c r="G5" s="150">
        <v>262.62599999999998</v>
      </c>
      <c r="H5" s="150">
        <v>68.56</v>
      </c>
      <c r="I5" s="150">
        <v>17.492999999999999</v>
      </c>
      <c r="J5" s="150">
        <v>481.61399999999998</v>
      </c>
      <c r="K5" s="71"/>
    </row>
    <row r="6" spans="1:11" x14ac:dyDescent="0.25">
      <c r="A6" s="62" t="s">
        <v>67</v>
      </c>
      <c r="B6" s="68"/>
      <c r="E6" s="74">
        <v>3</v>
      </c>
      <c r="F6" s="46">
        <v>2024090004</v>
      </c>
      <c r="G6" s="150">
        <v>150.97900000000001</v>
      </c>
      <c r="H6" s="150">
        <v>169.941</v>
      </c>
      <c r="I6" s="150">
        <v>11.531000000000001</v>
      </c>
      <c r="J6" s="150">
        <v>442.77499999999998</v>
      </c>
      <c r="K6" s="71"/>
    </row>
    <row r="7" spans="1:11" x14ac:dyDescent="0.25">
      <c r="A7" s="61" t="s">
        <v>68</v>
      </c>
      <c r="B7" s="65" t="b">
        <v>1</v>
      </c>
      <c r="E7" s="74">
        <v>4</v>
      </c>
      <c r="F7" s="46">
        <v>2024090005</v>
      </c>
      <c r="G7" s="150">
        <v>184.84399999999999</v>
      </c>
      <c r="H7" s="150">
        <v>9.5950000000000006</v>
      </c>
      <c r="I7" s="150">
        <v>14.999000000000001</v>
      </c>
      <c r="J7" s="150">
        <v>241.11799999999999</v>
      </c>
      <c r="K7" s="71"/>
    </row>
    <row r="8" spans="1:11" ht="15.75" thickBot="1" x14ac:dyDescent="0.3">
      <c r="A8" s="47" t="s">
        <v>88</v>
      </c>
      <c r="B8" s="66" t="b">
        <v>0</v>
      </c>
      <c r="E8" s="74">
        <v>5</v>
      </c>
      <c r="F8" s="46">
        <v>2024090006</v>
      </c>
      <c r="G8" s="150">
        <v>191.47</v>
      </c>
      <c r="H8" s="150">
        <v>112.038</v>
      </c>
      <c r="I8" s="150">
        <v>27.257000000000001</v>
      </c>
      <c r="J8" s="150">
        <v>384.19</v>
      </c>
      <c r="K8" s="71"/>
    </row>
    <row r="9" spans="1:11" x14ac:dyDescent="0.25">
      <c r="A9" s="62" t="s">
        <v>69</v>
      </c>
      <c r="B9" s="67"/>
      <c r="E9" s="74">
        <v>6</v>
      </c>
      <c r="F9" s="46">
        <v>2024090007</v>
      </c>
      <c r="G9" s="150">
        <v>88.084999999999994</v>
      </c>
      <c r="H9" s="150">
        <v>10.387</v>
      </c>
      <c r="I9" s="150">
        <v>11.244999999999999</v>
      </c>
      <c r="J9" s="150">
        <v>185.934</v>
      </c>
      <c r="K9" s="71"/>
    </row>
    <row r="10" spans="1:11" x14ac:dyDescent="0.25">
      <c r="A10" s="61" t="s">
        <v>70</v>
      </c>
      <c r="B10" s="65" t="b">
        <v>1</v>
      </c>
      <c r="E10" s="74">
        <v>7</v>
      </c>
      <c r="F10" s="46">
        <v>2024090020</v>
      </c>
      <c r="G10" s="150">
        <v>537.20000000000005</v>
      </c>
      <c r="H10" s="150">
        <v>203.35900000000001</v>
      </c>
      <c r="I10" s="150">
        <v>8.577</v>
      </c>
      <c r="J10" s="150">
        <v>899.61099999999999</v>
      </c>
      <c r="K10" s="71"/>
    </row>
    <row r="11" spans="1:11" ht="15.75" customHeight="1" thickBot="1" x14ac:dyDescent="0.3">
      <c r="A11" s="49" t="s">
        <v>71</v>
      </c>
      <c r="B11" s="66" t="b">
        <v>0</v>
      </c>
      <c r="E11" s="74">
        <v>8</v>
      </c>
      <c r="F11" s="46">
        <v>2024090027</v>
      </c>
      <c r="G11" s="150">
        <v>500.01799999999997</v>
      </c>
      <c r="H11" s="150">
        <v>17.498000000000001</v>
      </c>
      <c r="I11" s="150">
        <v>5.8170000000000002</v>
      </c>
      <c r="J11" s="150">
        <v>318.68599999999998</v>
      </c>
      <c r="K11" s="71"/>
    </row>
    <row r="12" spans="1:11" ht="15" customHeight="1" x14ac:dyDescent="0.25">
      <c r="A12" s="81" t="s">
        <v>42</v>
      </c>
      <c r="B12" s="83" t="s">
        <v>78</v>
      </c>
      <c r="C12" s="85" t="s">
        <v>79</v>
      </c>
      <c r="E12" s="74">
        <v>9</v>
      </c>
      <c r="F12" s="46">
        <v>2024090028</v>
      </c>
      <c r="G12" s="150">
        <v>35.145000000000003</v>
      </c>
      <c r="H12" s="150">
        <v>26.23</v>
      </c>
      <c r="I12" s="150">
        <v>12.603</v>
      </c>
      <c r="J12" s="150">
        <v>166.70699999999999</v>
      </c>
      <c r="K12" s="71"/>
    </row>
    <row r="13" spans="1:11" s="39" customFormat="1" ht="15" customHeight="1" x14ac:dyDescent="0.25">
      <c r="A13" s="82"/>
      <c r="B13" s="84"/>
      <c r="C13" s="86"/>
      <c r="D13" s="71"/>
      <c r="E13" s="74">
        <v>10</v>
      </c>
      <c r="F13" s="46">
        <v>2024090029</v>
      </c>
      <c r="G13" s="150">
        <v>39.04</v>
      </c>
      <c r="H13" s="150">
        <v>16.152999999999999</v>
      </c>
      <c r="I13" s="150">
        <v>4.6769999999999996</v>
      </c>
      <c r="J13" s="150">
        <v>115.02800000000001</v>
      </c>
      <c r="K13" s="71"/>
    </row>
    <row r="14" spans="1:11" ht="15.75" customHeight="1" x14ac:dyDescent="0.25">
      <c r="A14" s="69" t="s">
        <v>72</v>
      </c>
      <c r="B14" s="46" t="s">
        <v>81</v>
      </c>
      <c r="C14" s="52">
        <v>45808</v>
      </c>
      <c r="E14" s="74">
        <v>11</v>
      </c>
      <c r="F14" s="46">
        <v>2024090030</v>
      </c>
      <c r="G14" s="150">
        <v>221.19800000000001</v>
      </c>
      <c r="H14" s="150">
        <v>7.9349999999999996</v>
      </c>
      <c r="I14" s="150">
        <v>2.9239999999999999</v>
      </c>
      <c r="J14" s="150">
        <v>117.758</v>
      </c>
      <c r="K14" s="71"/>
    </row>
    <row r="15" spans="1:11" x14ac:dyDescent="0.25">
      <c r="A15" s="72" t="s">
        <v>14</v>
      </c>
      <c r="B15" s="46" t="s">
        <v>82</v>
      </c>
      <c r="C15" s="52">
        <v>45716</v>
      </c>
      <c r="E15" s="74">
        <v>12</v>
      </c>
      <c r="F15" s="46">
        <v>2024090033</v>
      </c>
      <c r="G15" s="150">
        <v>351.83600000000001</v>
      </c>
      <c r="H15" s="150">
        <v>120.583</v>
      </c>
      <c r="I15" s="150">
        <v>5.9290000000000003</v>
      </c>
      <c r="J15" s="150">
        <v>462.11900000000003</v>
      </c>
    </row>
    <row r="16" spans="1:11" ht="15" customHeight="1" x14ac:dyDescent="0.25">
      <c r="A16" s="72" t="s">
        <v>73</v>
      </c>
      <c r="B16" s="46" t="s">
        <v>83</v>
      </c>
      <c r="C16" s="52">
        <v>45688</v>
      </c>
      <c r="E16" s="74">
        <v>13</v>
      </c>
      <c r="F16" s="46"/>
      <c r="G16" s="150"/>
      <c r="H16" s="150"/>
      <c r="I16" s="150"/>
      <c r="J16" s="150"/>
    </row>
    <row r="17" spans="1:10" ht="15.75" customHeight="1" thickBot="1" x14ac:dyDescent="0.3">
      <c r="A17" s="73" t="s">
        <v>89</v>
      </c>
      <c r="B17" s="51" t="s">
        <v>84</v>
      </c>
      <c r="C17" s="53">
        <v>46142</v>
      </c>
      <c r="E17" s="74">
        <v>14</v>
      </c>
      <c r="F17" s="46"/>
      <c r="G17" s="150"/>
      <c r="H17" s="150"/>
      <c r="I17" s="150"/>
      <c r="J17" s="150"/>
    </row>
    <row r="18" spans="1:10" ht="15" customHeight="1" x14ac:dyDescent="0.25">
      <c r="A18" s="58" t="s">
        <v>85</v>
      </c>
      <c r="B18" s="54"/>
      <c r="C18" s="55"/>
      <c r="E18" s="74">
        <v>15</v>
      </c>
      <c r="F18" s="46"/>
      <c r="G18" s="150"/>
      <c r="H18" s="150"/>
      <c r="I18" s="150"/>
      <c r="J18" s="150"/>
    </row>
    <row r="19" spans="1:10" ht="15.75" customHeight="1" x14ac:dyDescent="0.25">
      <c r="A19" s="56" t="s">
        <v>86</v>
      </c>
      <c r="B19" s="148" t="s">
        <v>94</v>
      </c>
      <c r="C19" s="57"/>
    </row>
    <row r="20" spans="1:10" ht="15.75" thickBot="1" x14ac:dyDescent="0.3">
      <c r="A20" s="50" t="s">
        <v>87</v>
      </c>
      <c r="B20" s="149">
        <v>45560</v>
      </c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FormSampel!F4</f>
        <v>2024090002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FormSampel!G4</f>
        <v>210.81700000000001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0.210817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0.210817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FormSampel!H4</f>
        <v>47.701999999999998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4.7702000000000001E-2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FormSampel!I4</f>
        <v>14.832000000000001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1.4832000000000001E-2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FormSampel!J4</f>
        <v>499.62599999999998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0.49962599999999996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0.49962599999999996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FormSampel!F5</f>
        <v>2024090003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FormSampel!G5</f>
        <v>262.62599999999998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0.26262599999999997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0.26262599999999997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FormSampel!H5</f>
        <v>68.56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6.8559999999999996E-2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FormSampel!I5</f>
        <v>17.492999999999999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1.7492999999999998E-2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FormSampel!J5</f>
        <v>481.61399999999998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0.48161399999999999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0.48161399999999999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FormSampel!F6</f>
        <v>2024090004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FormSampel!G6</f>
        <v>150.97900000000001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0.150979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0.150979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FormSampel!H6</f>
        <v>169.941</v>
      </c>
      <c r="D23" s="30" t="s">
        <v>50</v>
      </c>
      <c r="E23" s="36">
        <v>1000</v>
      </c>
      <c r="F23" s="98" t="s">
        <v>51</v>
      </c>
      <c r="G23" s="97"/>
      <c r="H23" s="99">
        <f>IF(C24&lt;0.15,"&lt;0.15",C24)</f>
        <v>0.16994100000000001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0.16994100000000001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FormSampel!I6</f>
        <v>11.531000000000001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1.1531000000000001E-2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FormSampel!J6</f>
        <v>442.77499999999998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0.44277499999999997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0.44277499999999997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FormSampel!F7</f>
        <v>2024090005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FormSampel!G7</f>
        <v>184.84399999999999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0.18484399999999998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0.18484399999999998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FormSampel!H7</f>
        <v>9.5950000000000006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9.5950000000000011E-3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FormSampel!I7</f>
        <v>14.999000000000001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1.4999E-2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FormSampel!J7</f>
        <v>241.11799999999999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0.241118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0.241118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FormSampel!F8</f>
        <v>2024090006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FormSampel!G8</f>
        <v>191.47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0.19147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0.19147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FormSampel!H8</f>
        <v>112.038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0.112038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FormSampel!I8</f>
        <v>27.257000000000001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2.7257E-2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FormSampel!J8</f>
        <v>384.19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0.38418999999999998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0.38418999999999998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FormSampel!F9</f>
        <v>2024090007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FormSampel!G9</f>
        <v>88.084999999999994</v>
      </c>
      <c r="D20" s="30" t="s">
        <v>50</v>
      </c>
      <c r="E20" s="31">
        <v>1000</v>
      </c>
      <c r="F20" s="98" t="s">
        <v>51</v>
      </c>
      <c r="G20" s="97"/>
      <c r="H20" s="99" t="str">
        <f>IF(AND(C21&lt;0.15),"&lt;0.15",C21)</f>
        <v>&lt;0.15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8.8084999999999997E-2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FormSampel!H9</f>
        <v>10.387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1.0387E-2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FormSampel!I9</f>
        <v>11.244999999999999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1.1245E-2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FormSampel!J9</f>
        <v>185.934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0.18593399999999999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0.18593399999999999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FormSampel!F10</f>
        <v>2024090020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FormSampel!G10</f>
        <v>537.20000000000005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0.53720000000000001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0.53720000000000001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FormSampel!H10</f>
        <v>203.35900000000001</v>
      </c>
      <c r="D23" s="30" t="s">
        <v>50</v>
      </c>
      <c r="E23" s="36">
        <v>1000</v>
      </c>
      <c r="F23" s="98" t="s">
        <v>51</v>
      </c>
      <c r="G23" s="97"/>
      <c r="H23" s="99">
        <f>IF(C24&lt;0.15,"&lt;0.15",C24)</f>
        <v>0.20335900000000001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0.20335900000000001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FormSampel!I10</f>
        <v>8.577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8.5769999999999996E-3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FormSampel!J10</f>
        <v>899.61099999999999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0.89961099999999994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0.89961099999999994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FormSampel!F11</f>
        <v>2024090027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FormSampel!G11</f>
        <v>500.01799999999997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0.50001799999999996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0.50001799999999996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FormSampel!H11</f>
        <v>17.498000000000001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1.7498E-2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FormSampel!I11</f>
        <v>5.8170000000000002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5.8170000000000001E-3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FormSampel!J11</f>
        <v>318.68599999999998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0.31868599999999997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0.31868599999999997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FormSampel!F12</f>
        <v>2024090028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FormSampel!G12</f>
        <v>35.145000000000003</v>
      </c>
      <c r="D20" s="30" t="s">
        <v>50</v>
      </c>
      <c r="E20" s="31">
        <v>1000</v>
      </c>
      <c r="F20" s="98" t="s">
        <v>51</v>
      </c>
      <c r="G20" s="97"/>
      <c r="H20" s="99" t="str">
        <f>IF(AND(C21&lt;0.15),"&lt;0.15",C21)</f>
        <v>&lt;0.15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3.5145000000000003E-2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FormSampel!H12</f>
        <v>26.23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2.623E-2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FormSampel!I12</f>
        <v>12.603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1.2603E-2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FormSampel!J12</f>
        <v>166.70699999999999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0.16670699999999999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0.16670699999999999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FormSampel!F13</f>
        <v>2024090029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FormSampel!G13</f>
        <v>39.04</v>
      </c>
      <c r="D20" s="30" t="s">
        <v>50</v>
      </c>
      <c r="E20" s="31">
        <v>1000</v>
      </c>
      <c r="F20" s="98" t="s">
        <v>51</v>
      </c>
      <c r="G20" s="97"/>
      <c r="H20" s="99" t="str">
        <f>IF(AND(C21&lt;0.15),"&lt;0.15",C21)</f>
        <v>&lt;0.15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3.9039999999999998E-2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FormSampel!H13</f>
        <v>16.152999999999999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1.6152999999999997E-2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FormSampel!I13</f>
        <v>4.6769999999999996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4.6769999999999997E-3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FormSampel!J13</f>
        <v>115.02800000000001</v>
      </c>
      <c r="D29" s="30" t="s">
        <v>50</v>
      </c>
      <c r="E29" s="36">
        <v>1000</v>
      </c>
      <c r="F29" s="111" t="s">
        <v>51</v>
      </c>
      <c r="G29" s="107"/>
      <c r="H29" s="99" t="str">
        <f>IF(AND(C30&lt;0.15),"&lt;0.15",C30)</f>
        <v>&lt;0.15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0.11502800000000001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FormSampel!F14</f>
        <v>2024090030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FormSampel!G14</f>
        <v>221.19800000000001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0.22119800000000001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0.22119800000000001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FormSampel!H14</f>
        <v>7.9349999999999996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7.9349999999999993E-3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FormSampel!I14</f>
        <v>2.9239999999999999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2.9239999999999999E-3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FormSampel!J14</f>
        <v>117.758</v>
      </c>
      <c r="D29" s="30" t="s">
        <v>50</v>
      </c>
      <c r="E29" s="36">
        <v>1000</v>
      </c>
      <c r="F29" s="111" t="s">
        <v>51</v>
      </c>
      <c r="G29" s="107"/>
      <c r="H29" s="99" t="str">
        <f>IF(AND(C30&lt;0.15),"&lt;0.15",C30)</f>
        <v>&lt;0.15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0.117758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FormSampel!F15</f>
        <v>2024090033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FormSampel!G15</f>
        <v>351.83600000000001</v>
      </c>
      <c r="D20" s="30" t="s">
        <v>50</v>
      </c>
      <c r="E20" s="31">
        <v>1000</v>
      </c>
      <c r="F20" s="98" t="s">
        <v>51</v>
      </c>
      <c r="G20" s="97"/>
      <c r="H20" s="99">
        <f>IF(AND(C21&lt;0.15),"&lt;0.15",C21)</f>
        <v>0.35183600000000004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0.35183600000000004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FormSampel!H15</f>
        <v>120.583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0.120583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FormSampel!I15</f>
        <v>5.9290000000000003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5.9290000000000002E-3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FormSampel!J15</f>
        <v>462.11900000000003</v>
      </c>
      <c r="D29" s="30" t="s">
        <v>50</v>
      </c>
      <c r="E29" s="36">
        <v>1000</v>
      </c>
      <c r="F29" s="111" t="s">
        <v>51</v>
      </c>
      <c r="G29" s="107"/>
      <c r="H29" s="99">
        <f>IF(AND(C30&lt;0.15),"&lt;0.15",C30)</f>
        <v>0.462119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0.462119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FormSampel!F16</f>
        <v>0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FormSampel!G16</f>
        <v>0</v>
      </c>
      <c r="D20" s="30" t="s">
        <v>50</v>
      </c>
      <c r="E20" s="31">
        <v>1000</v>
      </c>
      <c r="F20" s="98" t="s">
        <v>51</v>
      </c>
      <c r="G20" s="97"/>
      <c r="H20" s="99" t="str">
        <f>IF(AND(C21&lt;0.15),"&lt;0.15",C21)</f>
        <v>&lt;0.15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FormSampel!H16</f>
        <v>0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0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FormSampel!I16</f>
        <v>0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0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FormSampel!J16</f>
        <v>0</v>
      </c>
      <c r="D29" s="30" t="s">
        <v>50</v>
      </c>
      <c r="E29" s="36">
        <v>1000</v>
      </c>
      <c r="F29" s="111" t="s">
        <v>51</v>
      </c>
      <c r="G29" s="107"/>
      <c r="H29" s="99" t="str">
        <f>IF(AND(C30&lt;0.15),"&lt;0.15",C30)</f>
        <v>&lt;0.15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FormSampel!F17</f>
        <v>0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FormSampel!G17</f>
        <v>0</v>
      </c>
      <c r="D20" s="30" t="s">
        <v>50</v>
      </c>
      <c r="E20" s="31">
        <v>1000</v>
      </c>
      <c r="F20" s="98" t="s">
        <v>51</v>
      </c>
      <c r="G20" s="97"/>
      <c r="H20" s="99" t="str">
        <f>IF(AND(C21&lt;0.15),"&lt;0.15",C21)</f>
        <v>&lt;0.15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FormSampel!H17</f>
        <v>0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0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FormSampel!I17</f>
        <v>0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0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FormSampel!J17</f>
        <v>0</v>
      </c>
      <c r="D29" s="30" t="s">
        <v>50</v>
      </c>
      <c r="E29" s="36">
        <v>1000</v>
      </c>
      <c r="F29" s="111" t="s">
        <v>51</v>
      </c>
      <c r="G29" s="107"/>
      <c r="H29" s="99" t="str">
        <f>IF(AND(C30&lt;0.15),"&lt;0.15",C30)</f>
        <v>&lt;0.15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26" x14ac:dyDescent="0.25">
      <c r="A2" s="117" t="s">
        <v>1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26" x14ac:dyDescent="0.25">
      <c r="A3" s="120" t="s">
        <v>2</v>
      </c>
      <c r="B3" s="118"/>
      <c r="C3" s="119"/>
      <c r="D3" s="121">
        <f>FormSampel!F18</f>
        <v>0</v>
      </c>
      <c r="E3" s="118"/>
      <c r="F3" s="118"/>
      <c r="G3" s="118"/>
      <c r="H3" s="118"/>
      <c r="I3" s="118"/>
      <c r="J3" s="119"/>
    </row>
    <row r="4" spans="1:26" x14ac:dyDescent="0.25">
      <c r="A4" s="120" t="s">
        <v>3</v>
      </c>
      <c r="B4" s="118"/>
      <c r="C4" s="119"/>
      <c r="D4" s="121" t="str">
        <f>FormSampel!B2</f>
        <v>250924 (2)</v>
      </c>
      <c r="E4" s="118"/>
      <c r="F4" s="118"/>
      <c r="G4" s="118"/>
      <c r="H4" s="118"/>
      <c r="I4" s="118"/>
      <c r="J4" s="119"/>
    </row>
    <row r="5" spans="1:26" ht="15" customHeight="1" x14ac:dyDescent="0.25">
      <c r="A5" s="122" t="s">
        <v>4</v>
      </c>
      <c r="B5" s="118"/>
      <c r="C5" s="118"/>
      <c r="D5" s="118"/>
      <c r="E5" s="118"/>
      <c r="F5" s="118"/>
      <c r="G5" s="118"/>
      <c r="H5" s="118"/>
      <c r="I5" s="118"/>
      <c r="J5" s="11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2" t="s">
        <v>5</v>
      </c>
      <c r="B6" s="118"/>
      <c r="C6" s="118"/>
      <c r="D6" s="118"/>
      <c r="E6" s="118"/>
      <c r="F6" s="118"/>
      <c r="G6" s="118"/>
      <c r="H6" s="118"/>
      <c r="I6" s="118"/>
      <c r="J6" s="119"/>
    </row>
    <row r="7" spans="1:26" ht="30" customHeight="1" x14ac:dyDescent="0.25">
      <c r="A7" s="123" t="s">
        <v>6</v>
      </c>
      <c r="B7" s="113"/>
      <c r="C7" s="124" t="s">
        <v>7</v>
      </c>
      <c r="D7" s="113"/>
      <c r="E7" s="113"/>
      <c r="F7" s="42" t="s">
        <v>8</v>
      </c>
      <c r="G7" s="112" t="s">
        <v>9</v>
      </c>
      <c r="H7" s="113"/>
      <c r="I7" s="113"/>
      <c r="J7" s="114"/>
    </row>
    <row r="8" spans="1:26" ht="15" customHeight="1" x14ac:dyDescent="0.25">
      <c r="A8" s="125" t="s">
        <v>10</v>
      </c>
      <c r="B8" s="107"/>
      <c r="C8" s="126" t="s">
        <v>11</v>
      </c>
      <c r="D8" s="107"/>
      <c r="E8" s="4"/>
      <c r="F8" s="38" t="s">
        <v>12</v>
      </c>
      <c r="G8" s="6" t="s">
        <v>13</v>
      </c>
      <c r="H8" s="6" t="s">
        <v>14</v>
      </c>
      <c r="I8" s="115"/>
      <c r="J8" s="116"/>
    </row>
    <row r="9" spans="1:26" ht="30" customHeight="1" x14ac:dyDescent="0.25">
      <c r="A9" s="127" t="s">
        <v>15</v>
      </c>
      <c r="B9" s="107"/>
      <c r="C9" s="126" t="s">
        <v>16</v>
      </c>
      <c r="D9" s="10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5" t="s">
        <v>20</v>
      </c>
      <c r="B10" s="107"/>
      <c r="C10" s="126" t="s">
        <v>21</v>
      </c>
      <c r="D10" s="10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07"/>
      <c r="C11" s="130" t="s">
        <v>26</v>
      </c>
      <c r="D11" s="10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5" t="s">
        <v>30</v>
      </c>
      <c r="B12" s="107"/>
      <c r="C12" s="126" t="s">
        <v>31</v>
      </c>
      <c r="D12" s="10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5" t="s">
        <v>35</v>
      </c>
      <c r="B13" s="107"/>
      <c r="C13" s="126" t="s">
        <v>36</v>
      </c>
      <c r="D13" s="10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5" t="s">
        <v>40</v>
      </c>
      <c r="B14" s="107"/>
      <c r="C14" s="126" t="s">
        <v>41</v>
      </c>
      <c r="D14" s="107"/>
      <c r="E14" s="7"/>
      <c r="F14" s="128" t="s">
        <v>42</v>
      </c>
      <c r="G14" s="107"/>
      <c r="H14" s="107"/>
      <c r="I14" s="129" t="s">
        <v>43</v>
      </c>
      <c r="J14" s="116"/>
    </row>
    <row r="15" spans="1:26" ht="15" customHeight="1" x14ac:dyDescent="0.25">
      <c r="A15" s="125" t="s">
        <v>44</v>
      </c>
      <c r="B15" s="107"/>
      <c r="C15" s="126" t="s">
        <v>45</v>
      </c>
      <c r="D15" s="107"/>
      <c r="E15" s="7"/>
      <c r="F15" s="43" t="s">
        <v>74</v>
      </c>
      <c r="G15" s="132" t="str">
        <f>FormSampel!B14</f>
        <v>HC 16350373 - 2</v>
      </c>
      <c r="H15" s="132"/>
      <c r="I15" s="87">
        <f>FormSampel!C14</f>
        <v>45808</v>
      </c>
      <c r="J15" s="88"/>
    </row>
    <row r="16" spans="1:26" ht="15" customHeight="1" x14ac:dyDescent="0.25">
      <c r="A16" s="125" t="s">
        <v>46</v>
      </c>
      <c r="B16" s="107"/>
      <c r="C16" s="131" t="s">
        <v>47</v>
      </c>
      <c r="D16" s="107"/>
      <c r="E16" s="107"/>
      <c r="F16" s="44" t="s">
        <v>75</v>
      </c>
      <c r="G16" s="95" t="str">
        <f>FormSampel!B15</f>
        <v>HC 15161426 - 2</v>
      </c>
      <c r="H16" s="95"/>
      <c r="I16" s="87">
        <f>FormSampel!C15</f>
        <v>45716</v>
      </c>
      <c r="J16" s="8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5" t="str">
        <f>FormSampel!B16</f>
        <v>HC 14813176 - 2</v>
      </c>
      <c r="H17" s="95"/>
      <c r="I17" s="87">
        <f>FormSampel!C16</f>
        <v>45688</v>
      </c>
      <c r="J17" s="8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4" t="str">
        <f>FormSampel!B17</f>
        <v>HC 28942277 - 2</v>
      </c>
      <c r="H18" s="94"/>
      <c r="I18" s="89">
        <f>FormSampel!C17</f>
        <v>46142</v>
      </c>
      <c r="J18" s="90"/>
    </row>
    <row r="19" spans="1:26" x14ac:dyDescent="0.25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 x14ac:dyDescent="0.25">
      <c r="A20" s="96" t="s">
        <v>49</v>
      </c>
      <c r="B20" s="97"/>
      <c r="C20" s="29">
        <f>FormSampel!G18</f>
        <v>0</v>
      </c>
      <c r="D20" s="30" t="s">
        <v>50</v>
      </c>
      <c r="E20" s="31">
        <v>1000</v>
      </c>
      <c r="F20" s="98" t="s">
        <v>51</v>
      </c>
      <c r="G20" s="97"/>
      <c r="H20" s="99" t="str">
        <f>IF(AND(C21&lt;0.15),"&lt;0.15",C21)</f>
        <v>&lt;0.15</v>
      </c>
      <c r="I20" s="100"/>
      <c r="J20" s="32" t="s">
        <v>52</v>
      </c>
    </row>
    <row r="21" spans="1:26" ht="15.75" customHeight="1" x14ac:dyDescent="0.25">
      <c r="A21" s="33" t="s">
        <v>53</v>
      </c>
      <c r="B21" s="34"/>
      <c r="C21" s="101">
        <f>C20/1000</f>
        <v>0</v>
      </c>
      <c r="D21" s="102"/>
      <c r="E21" s="35"/>
      <c r="F21" s="34"/>
      <c r="G21" s="34"/>
      <c r="H21" s="34"/>
      <c r="I21" s="34"/>
      <c r="J21" s="32"/>
    </row>
    <row r="22" spans="1:26" ht="15.75" customHeight="1" x14ac:dyDescent="0.25">
      <c r="A22" s="103" t="s">
        <v>56</v>
      </c>
      <c r="B22" s="104"/>
      <c r="C22" s="104"/>
      <c r="D22" s="104"/>
      <c r="E22" s="104"/>
      <c r="F22" s="104"/>
      <c r="G22" s="104"/>
      <c r="H22" s="104"/>
      <c r="I22" s="104"/>
      <c r="J22" s="10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6" t="s">
        <v>49</v>
      </c>
      <c r="B23" s="97"/>
      <c r="C23" s="29">
        <f>FormSampel!H18</f>
        <v>0</v>
      </c>
      <c r="D23" s="30" t="s">
        <v>50</v>
      </c>
      <c r="E23" s="36">
        <v>1000</v>
      </c>
      <c r="F23" s="98" t="s">
        <v>51</v>
      </c>
      <c r="G23" s="97"/>
      <c r="H23" s="99" t="str">
        <f>IF(C24&lt;0.15,"&lt;0.15",C24)</f>
        <v>&lt;0.15</v>
      </c>
      <c r="I23" s="100"/>
      <c r="J23" s="32" t="s">
        <v>52</v>
      </c>
    </row>
    <row r="24" spans="1:26" ht="15.75" customHeight="1" x14ac:dyDescent="0.25">
      <c r="A24" s="33" t="s">
        <v>53</v>
      </c>
      <c r="B24" s="34"/>
      <c r="C24" s="101">
        <f>C23/1000</f>
        <v>0</v>
      </c>
      <c r="D24" s="102"/>
      <c r="E24" s="35"/>
      <c r="F24" s="34"/>
      <c r="G24" s="34"/>
      <c r="H24" s="34"/>
      <c r="I24" s="34"/>
      <c r="J24" s="32"/>
    </row>
    <row r="25" spans="1:26" ht="15.75" customHeight="1" x14ac:dyDescent="0.25">
      <c r="A25" s="103" t="s">
        <v>54</v>
      </c>
      <c r="B25" s="104"/>
      <c r="C25" s="104"/>
      <c r="D25" s="104"/>
      <c r="E25" s="104"/>
      <c r="F25" s="104"/>
      <c r="G25" s="104"/>
      <c r="H25" s="104"/>
      <c r="I25" s="104"/>
      <c r="J25" s="10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6" t="s">
        <v>49</v>
      </c>
      <c r="B26" s="107"/>
      <c r="C26" s="29">
        <f>FormSampel!I18</f>
        <v>0</v>
      </c>
      <c r="D26" s="30" t="s">
        <v>50</v>
      </c>
      <c r="E26" s="36">
        <v>1000</v>
      </c>
      <c r="F26" s="108" t="s">
        <v>51</v>
      </c>
      <c r="G26" s="97"/>
      <c r="H26" s="99" t="str">
        <f>IF(AND(C27&lt;0.15),"&lt;0.15",C27)</f>
        <v>&lt;0.15</v>
      </c>
      <c r="I26" s="100"/>
      <c r="J26" s="37" t="s">
        <v>52</v>
      </c>
    </row>
    <row r="27" spans="1:26" ht="15.75" customHeight="1" x14ac:dyDescent="0.25">
      <c r="A27" s="33" t="s">
        <v>53</v>
      </c>
      <c r="B27" s="34"/>
      <c r="C27" s="109">
        <f>C26/1000</f>
        <v>0</v>
      </c>
      <c r="D27" s="110"/>
      <c r="E27" s="35"/>
      <c r="F27" s="34"/>
      <c r="G27" s="34"/>
      <c r="H27" s="34"/>
      <c r="I27" s="34"/>
      <c r="J27" s="32"/>
    </row>
    <row r="28" spans="1:26" ht="15.75" customHeight="1" x14ac:dyDescent="0.25">
      <c r="A28" s="103" t="s">
        <v>55</v>
      </c>
      <c r="B28" s="104"/>
      <c r="C28" s="104"/>
      <c r="D28" s="104"/>
      <c r="E28" s="104"/>
      <c r="F28" s="104"/>
      <c r="G28" s="104"/>
      <c r="H28" s="104"/>
      <c r="I28" s="104"/>
      <c r="J28" s="10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6" t="s">
        <v>49</v>
      </c>
      <c r="B29" s="107"/>
      <c r="C29" s="29">
        <f>FormSampel!J18</f>
        <v>0</v>
      </c>
      <c r="D29" s="30" t="s">
        <v>50</v>
      </c>
      <c r="E29" s="36">
        <v>1000</v>
      </c>
      <c r="F29" s="111" t="s">
        <v>51</v>
      </c>
      <c r="G29" s="107"/>
      <c r="H29" s="99" t="str">
        <f>IF(AND(C30&lt;0.15),"&lt;0.15",C30)</f>
        <v>&lt;0.15</v>
      </c>
      <c r="I29" s="100"/>
      <c r="J29" s="32" t="s">
        <v>52</v>
      </c>
    </row>
    <row r="30" spans="1:26" ht="15.75" customHeight="1" x14ac:dyDescent="0.25">
      <c r="A30" s="33" t="s">
        <v>53</v>
      </c>
      <c r="B30" s="34"/>
      <c r="C30" s="101">
        <f>C29/1000</f>
        <v>0</v>
      </c>
      <c r="D30" s="102"/>
      <c r="E30" s="35"/>
      <c r="F30" s="34"/>
      <c r="G30" s="34"/>
      <c r="H30" s="34"/>
      <c r="I30" s="34"/>
      <c r="J30" s="32"/>
    </row>
    <row r="31" spans="1:26" ht="15.75" customHeight="1" x14ac:dyDescent="0.25">
      <c r="A31" s="144" t="s">
        <v>57</v>
      </c>
      <c r="B31" s="11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5" t="s">
        <v>59</v>
      </c>
      <c r="C32" s="107"/>
      <c r="D32" s="107"/>
      <c r="E32" s="116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16"/>
      <c r="F33" s="21"/>
      <c r="G33" s="1"/>
      <c r="H33" s="1"/>
      <c r="I33" s="1"/>
      <c r="J33" s="16"/>
    </row>
    <row r="34" spans="1:26" ht="15.75" customHeight="1" x14ac:dyDescent="0.25">
      <c r="A34" s="22"/>
      <c r="B34" s="145" t="s">
        <v>60</v>
      </c>
      <c r="C34" s="107"/>
      <c r="D34" s="107"/>
      <c r="E34" s="116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1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6" t="s">
        <v>61</v>
      </c>
      <c r="B38" s="113"/>
      <c r="C38" s="113"/>
      <c r="D38" s="113"/>
      <c r="E38" s="114"/>
      <c r="F38" s="133" t="str">
        <f>FormSampel!B19</f>
        <v>PERMIT     AMIR     MAISARAH</v>
      </c>
      <c r="G38" s="134"/>
      <c r="H38" s="137">
        <f>FormSampel!B20</f>
        <v>45560</v>
      </c>
      <c r="I38" s="137"/>
      <c r="J38" s="138"/>
    </row>
    <row r="39" spans="1:26" ht="11.25" customHeight="1" x14ac:dyDescent="0.25">
      <c r="A39" s="142"/>
      <c r="B39" s="143"/>
      <c r="C39" s="143"/>
      <c r="D39" s="143"/>
      <c r="E39" s="147"/>
      <c r="F39" s="135"/>
      <c r="G39" s="136"/>
      <c r="H39" s="139"/>
      <c r="I39" s="139"/>
      <c r="J39" s="140"/>
    </row>
    <row r="40" spans="1:26" ht="15.75" customHeight="1" x14ac:dyDescent="0.25">
      <c r="A40" s="141" t="s">
        <v>62</v>
      </c>
      <c r="B40" s="113"/>
      <c r="C40" s="113"/>
      <c r="D40" s="113"/>
      <c r="E40" s="113"/>
      <c r="F40" s="27"/>
      <c r="G40" s="23"/>
      <c r="H40" s="23"/>
      <c r="I40" s="23"/>
      <c r="J40" s="16"/>
    </row>
    <row r="41" spans="1:26" ht="11.25" customHeight="1" x14ac:dyDescent="0.25">
      <c r="A41" s="142"/>
      <c r="B41" s="143"/>
      <c r="C41" s="143"/>
      <c r="D41" s="143"/>
      <c r="E41" s="14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2024-09-27T03:32:57Z</dcterms:modified>
</cp:coreProperties>
</file>