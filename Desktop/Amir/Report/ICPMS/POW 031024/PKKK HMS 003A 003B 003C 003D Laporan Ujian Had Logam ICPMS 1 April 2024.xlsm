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POW 031024\"/>
    </mc:Choice>
  </mc:AlternateContent>
  <xr:revisionPtr revIDLastSave="0" documentId="13_ncr:1_{74AB8BAD-1478-4F5B-8B13-A9B701394E40}" xr6:coauthVersionLast="36" xr6:coauthVersionMax="36" xr10:uidLastSave="{00000000-0000-0000-0000-000000000000}"/>
  <bookViews>
    <workbookView xWindow="0" yWindow="0" windowWidth="28800" windowHeight="12300" activeTab="1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<sst xmlns="http://schemas.openxmlformats.org/spreadsheetml/2006/main" count="1264" uniqueCount="95">
  <si>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</si>
  <si>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</si>
  <si>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</si>
  <si>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</si>
  <si>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</si>
  <si>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</si>
  <si>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</si>
  <si>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</si>
  <si>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</si>
  <si>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</si>
  <si>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</si>
  <si>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</si>
  <si>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</si>
  <si>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</si>
  <si>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</si>
  <si>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</si>
  <si>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</si>
  <si>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</si>
  <si>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</si>
  <si>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</si>
  <si>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</si>
  <si>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</si>
  <si>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</si>
  <si>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</si>
  <si>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</si>
  <si>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</si>
  <si>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</si>
  <si>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</si>
  <si>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</si>
  <si>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</si>
  <si>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</si>
  <si>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</si>
  <si>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</si>
  <si>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</si>
  <si>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</si>
  <si>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</si>
  <si>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</si>
  <si>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</si>
  <si>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</si>
  <si>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</si>
  <si>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</si>
  <si>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</si>
  <si>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</si>
  <si>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</si>
  <si>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</si>
  <si>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</si>
  <si>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</si>
  <si>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</si>
  <si>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</si>
  <si>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</si>
  <si>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</si>
  <si>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</si>
  <si>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</si>
  <si>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</si>
  <si>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</si>
  <si>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</si>
  <si>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</si>
  <si>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</si>
  <si>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</si>
  <si>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</si>
  <si>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</si>
  <si>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</si>
  <si>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</si>
  <si>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</si>
  <si>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</si>
  <si>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</si>
  <si>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</si>
  <si>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</si>
  <si>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</si>
  <si>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</si>
  <si>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</si>
  <si>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</si>
  <si>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</si>
  <si>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</si>
  <si>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</si>
  <si>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</si>
  <si>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</si>
  <si>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</si>
  <si>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</si>
  <si>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</si>
  <si>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</si>
  <si>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</si>
  <si>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</si>
  <si>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</si>
  <si>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</si>
  <si>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</si>
  <si>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</si>
  <si>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</si>
  <si>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</si>
  <si>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</si>
  <si>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</si>
  <si>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</si>
  <si>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</si>
  <si>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101024 (1)</t>
  </si>
  <si>
    <t>PERMIT   AMIR   MAISARAH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</si>
</sst>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5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4" xfId="0" applyFont="1" applyBorder="1" applyAlignment="1"/>
    <xf numFmtId="0" fontId="0" fillId="0" borderId="25" xfId="0" applyFont="1" applyBorder="1" applyAlignment="1"/>
    <xf numFmtId="0" fontId="0" fillId="0" borderId="23" xfId="0" applyFont="1" applyBorder="1" applyAlignment="1"/>
    <xf numFmtId="0" fontId="3" fillId="0" borderId="24" xfId="0" applyFont="1" applyBorder="1" applyAlignment="1">
      <alignment horizontal="left"/>
    </xf>
    <xf numFmtId="0" fontId="0" fillId="0" borderId="18" xfId="0" applyFont="1" applyBorder="1" applyAlignment="1"/>
    <xf numFmtId="14" fontId="0" fillId="0" borderId="16" xfId="0" applyNumberFormat="1" applyFont="1" applyBorder="1" applyAlignment="1">
      <alignment horizontal="center"/>
    </xf>
    <xf numFmtId="14" fontId="0" fillId="0" borderId="19" xfId="0" applyNumberFormat="1" applyFont="1" applyBorder="1" applyAlignment="1">
      <alignment horizontal="center"/>
    </xf>
    <xf numFmtId="0" fontId="0" fillId="0" borderId="28" xfId="0" applyFont="1" applyBorder="1" applyAlignment="1"/>
    <xf numFmtId="0" fontId="0" fillId="0" borderId="29" xfId="0" applyFont="1" applyBorder="1" applyAlignment="1"/>
    <xf numFmtId="0" fontId="3" fillId="0" borderId="31" xfId="0" applyFont="1" applyBorder="1" applyAlignment="1">
      <alignment horizontal="left"/>
    </xf>
    <xf numFmtId="0" fontId="0" fillId="0" borderId="32" xfId="0" applyFont="1" applyBorder="1" applyAlignment="1"/>
    <xf numFmtId="14" fontId="0" fillId="0" borderId="34" xfId="0" applyNumberFormat="1" applyFont="1" applyBorder="1" applyAlignment="1"/>
    <xf numFmtId="0" fontId="14" fillId="5" borderId="20" xfId="0" applyFont="1" applyFill="1" applyBorder="1" applyAlignment="1">
      <alignment horizontal="left"/>
    </xf>
    <xf numFmtId="0" fontId="14" fillId="5" borderId="22" xfId="0" applyFont="1" applyFill="1" applyBorder="1" applyAlignment="1"/>
    <xf numFmtId="0" fontId="14" fillId="5" borderId="26" xfId="0" applyFont="1" applyFill="1" applyBorder="1" applyAlignment="1"/>
    <xf numFmtId="0" fontId="3" fillId="0" borderId="31" xfId="0" applyFont="1" applyBorder="1" applyAlignment="1"/>
    <xf numFmtId="0" fontId="14" fillId="5" borderId="20" xfId="0" applyFont="1" applyFill="1" applyBorder="1" applyAlignment="1"/>
    <xf numFmtId="0" fontId="0" fillId="0" borderId="13" xfId="0" applyFont="1" applyBorder="1" applyAlignment="1"/>
    <xf numFmtId="0" fontId="3" fillId="0" borderId="35" xfId="0" applyFont="1" applyBorder="1" applyAlignment="1"/>
    <xf numFmtId="0" fontId="0" fillId="0" borderId="30" xfId="0" applyFont="1" applyBorder="1" applyAlignment="1"/>
    <xf numFmtId="0" fontId="0" fillId="0" borderId="36" xfId="0" applyFont="1" applyBorder="1" applyAlignment="1"/>
    <xf numFmtId="0" fontId="0" fillId="0" borderId="35" xfId="0" applyFont="1" applyBorder="1" applyAlignment="1"/>
    <xf numFmtId="0" fontId="0" fillId="0" borderId="21" xfId="0" applyFont="1" applyBorder="1" applyAlignment="1"/>
    <xf numFmtId="0" fontId="3" fillId="0" borderId="15" xfId="0" applyFont="1" applyBorder="1" applyAlignment="1">
      <alignment horizontal="center"/>
    </xf>
    <xf numFmtId="0" fontId="15" fillId="0" borderId="0" xfId="0" applyFont="1" applyFill="1" applyAlignment="1"/>
    <xf numFmtId="0" fontId="0" fillId="0" borderId="0" xfId="0" applyFont="1" applyFill="1" applyAlignment="1"/>
    <xf numFmtId="0" fontId="2" fillId="0" borderId="1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39" xfId="0" applyFont="1" applyBorder="1" applyAlignment="1">
      <alignment horizontal="center"/>
    </xf>
    <xf numFmtId="0" fontId="0" fillId="0" borderId="12" xfId="0" applyFont="1" applyBorder="1" applyAlignment="1">
      <alignment horizontal="center" vertical="center"/>
    </xf>
    <xf numFmtId="0" fontId="0" fillId="0" borderId="40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5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33" xfId="0" applyFont="1" applyFill="1" applyBorder="1" applyAlignment="1">
      <alignment horizontal="center" vertical="center"/>
    </xf>
    <xf numFmtId="0" fontId="14" fillId="5" borderId="38" xfId="0" applyFont="1" applyFill="1" applyBorder="1" applyAlignment="1">
      <alignment horizontal="center" vertical="center"/>
    </xf>
    <xf numFmtId="0" fontId="14" fillId="5" borderId="27" xfId="0" applyFont="1" applyFill="1" applyBorder="1" applyAlignment="1">
      <alignment horizontal="center" vertic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 applyFont="1" applyAlignment="1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  <xf numFmtId="0" fontId="1" fillId="0" borderId="33" xfId="0" applyFont="1" applyBorder="1" applyAlignment="1"/>
    <xf numFmtId="0" fontId="0" fillId="0" borderId="12" xfId="0" applyFont="1" applyBorder="1" applyAlignment="1">
      <alignment horizontal="center"/>
    </xf>
    <xf numFmtId="164" fontId="0" fillId="0" borderId="0" xfId="0" applyNumberFormat="1" applyFont="1" applyAlignment="1"/>
    <xf numFmtId="164" fontId="0" fillId="0" borderId="12" xfId="0" applyNumberFormat="1" applyFont="1" applyBorder="1" applyAlignment="1">
      <alignment horizontal="center" vertical="center"/>
    </xf>
    <xf numFmtId="164" fontId="0" fillId="4" borderId="40" xfId="0" applyNumberFormat="1" applyFont="1" applyFill="1" applyBorder="1" applyAlignment="1">
      <alignment horizontal="center" vertical="center"/>
    </xf>
    <xf numFmtId="164" fontId="0" fillId="6" borderId="40" xfId="0" applyNumberFormat="1" applyFont="1" applyFill="1" applyBorder="1" applyAlignment="1">
      <alignment horizontal="center" vertical="center"/>
    </xf>
    <xf numFmtId="164" fontId="0" fillId="7" borderId="40" xfId="0" applyNumberFormat="1" applyFont="1" applyFill="1" applyBorder="1" applyAlignment="1">
      <alignment horizontal="center" vertical="center"/>
    </xf>
    <xf numFmtId="164" fontId="0" fillId="8" borderId="40" xfId="0" applyNumberFormat="1" applyFont="1" applyFill="1" applyBorder="1" applyAlignment="1">
      <alignment horizontal="center" vertical="center"/>
    </xf>
    <xf numFmtId="164" fontId="0" fillId="0" borderId="12" xfId="0" applyNumberFormat="1" applyFont="1" applyBorder="1" applyAlignment="1"/>
  </cellXfs>
  <cellStyles count="1"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workbookViewId="0">
      <selection activeCell="J5" sqref="J5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2" customWidth="1"/>
    <col min="5" max="5" width="4" customWidth="1"/>
    <col min="6" max="6" width="24" style="75" customWidth="1"/>
    <col min="7" max="10" width="9.140625" style="148"/>
  </cols>
  <sheetData>
    <row r="1" spans="1:11" ht="15.75" customHeight="1" thickBot="1" x14ac:dyDescent="0.3"/>
    <row r="2" spans="1:11" ht="15.75" customHeight="1" thickBot="1" x14ac:dyDescent="0.3">
      <c r="A2" s="61" t="s">
        <v>3</v>
      </c>
      <c r="B2" s="64" t="s">
        <v>93</v>
      </c>
      <c r="E2" s="77" t="s">
        <v>90</v>
      </c>
      <c r="F2" s="77" t="s">
        <v>91</v>
      </c>
      <c r="G2" s="149" t="s">
        <v>92</v>
      </c>
      <c r="H2" s="149"/>
      <c r="I2" s="149"/>
      <c r="J2" s="149"/>
    </row>
    <row r="3" spans="1:11" ht="15" customHeight="1" x14ac:dyDescent="0.25">
      <c r="A3" s="60" t="s">
        <v>63</v>
      </c>
      <c r="B3" s="65" t="s">
        <v>65</v>
      </c>
      <c r="E3" s="77"/>
      <c r="F3" s="78"/>
      <c r="G3" s="150" t="s">
        <v>72</v>
      </c>
      <c r="H3" s="151" t="s">
        <v>80</v>
      </c>
      <c r="I3" s="152" t="s">
        <v>14</v>
      </c>
      <c r="J3" s="153" t="s">
        <v>73</v>
      </c>
    </row>
    <row r="4" spans="1:11" ht="15.75" customHeight="1" x14ac:dyDescent="0.25">
      <c r="A4" s="62" t="s">
        <v>64</v>
      </c>
      <c r="B4" s="46" t="b">
        <v>0</v>
      </c>
      <c r="E4" s="76">
        <v>1</v>
      </c>
      <c r="F4" s="147">
        <v>2024090036</v>
      </c>
      <c r="G4" s="154">
        <v>95.088999999999999</v>
      </c>
      <c r="H4" s="154">
        <v>13.552</v>
      </c>
      <c r="I4" s="154">
        <v>20.216999999999999</v>
      </c>
      <c r="J4" s="154">
        <v>192.56299999999999</v>
      </c>
      <c r="K4" s="72"/>
    </row>
    <row r="5" spans="1:11" ht="15.75" thickBot="1" x14ac:dyDescent="0.3">
      <c r="A5" s="47" t="s">
        <v>66</v>
      </c>
      <c r="B5" s="67" t="b">
        <v>1</v>
      </c>
      <c r="E5" s="76">
        <v>2</v>
      </c>
      <c r="F5" s="147">
        <v>2024090108</v>
      </c>
      <c r="G5" s="154">
        <v>24.33</v>
      </c>
      <c r="H5" s="154">
        <v>5.3680000000000003</v>
      </c>
      <c r="I5" s="154">
        <v>14.31</v>
      </c>
      <c r="J5" s="154">
        <v>354.04</v>
      </c>
      <c r="K5" s="72"/>
    </row>
    <row r="6" spans="1:11" x14ac:dyDescent="0.25">
      <c r="A6" s="63" t="s">
        <v>67</v>
      </c>
      <c r="B6" s="69"/>
      <c r="E6" s="76">
        <v>3</v>
      </c>
      <c r="F6" s="147"/>
      <c r="G6" s="154"/>
      <c r="H6" s="154"/>
      <c r="I6" s="154"/>
      <c r="J6" s="154"/>
      <c r="K6" s="72"/>
    </row>
    <row r="7" spans="1:11" x14ac:dyDescent="0.25">
      <c r="A7" s="62" t="s">
        <v>68</v>
      </c>
      <c r="B7" s="66" t="b">
        <v>1</v>
      </c>
      <c r="E7" s="76">
        <v>4</v>
      </c>
      <c r="F7" s="147"/>
      <c r="G7" s="154"/>
      <c r="H7" s="154"/>
      <c r="I7" s="154"/>
      <c r="J7" s="154"/>
      <c r="K7" s="72"/>
    </row>
    <row r="8" spans="1:11" ht="15.75" thickBot="1" x14ac:dyDescent="0.3">
      <c r="A8" s="47" t="s">
        <v>88</v>
      </c>
      <c r="B8" s="67" t="b">
        <v>0</v>
      </c>
      <c r="E8" s="76">
        <v>5</v>
      </c>
      <c r="F8" s="147"/>
      <c r="G8" s="154"/>
      <c r="H8" s="154"/>
      <c r="I8" s="154"/>
      <c r="J8" s="154"/>
      <c r="K8" s="72"/>
    </row>
    <row r="9" spans="1:11" x14ac:dyDescent="0.25">
      <c r="A9" s="63" t="s">
        <v>69</v>
      </c>
      <c r="B9" s="68"/>
      <c r="E9" s="76">
        <v>6</v>
      </c>
      <c r="F9" s="147"/>
      <c r="G9" s="154"/>
      <c r="H9" s="154"/>
      <c r="I9" s="154"/>
      <c r="J9" s="154"/>
      <c r="K9" s="72"/>
    </row>
    <row r="10" spans="1:11" x14ac:dyDescent="0.25">
      <c r="A10" s="62" t="s">
        <v>70</v>
      </c>
      <c r="B10" s="66" t="b">
        <v>1</v>
      </c>
      <c r="E10" s="76">
        <v>7</v>
      </c>
      <c r="F10" s="147"/>
      <c r="G10" s="154"/>
      <c r="H10" s="154"/>
      <c r="I10" s="154"/>
      <c r="J10" s="154"/>
      <c r="K10" s="72"/>
    </row>
    <row r="11" spans="1:11" ht="15.75" customHeight="1" thickBot="1" x14ac:dyDescent="0.3">
      <c r="A11" s="49" t="s">
        <v>71</v>
      </c>
      <c r="B11" s="67" t="b">
        <v>0</v>
      </c>
      <c r="E11" s="76">
        <v>8</v>
      </c>
      <c r="F11" s="147"/>
      <c r="G11" s="154"/>
      <c r="H11" s="154"/>
      <c r="I11" s="154"/>
      <c r="J11" s="154"/>
      <c r="K11" s="72"/>
    </row>
    <row r="12" spans="1:11" ht="15" customHeight="1" x14ac:dyDescent="0.25">
      <c r="A12" s="79" t="s">
        <v>42</v>
      </c>
      <c r="B12" s="81" t="s">
        <v>78</v>
      </c>
      <c r="C12" s="83" t="s">
        <v>79</v>
      </c>
      <c r="E12" s="76">
        <v>9</v>
      </c>
      <c r="F12" s="147"/>
      <c r="G12" s="154"/>
      <c r="H12" s="154"/>
      <c r="I12" s="154"/>
      <c r="J12" s="154"/>
      <c r="K12" s="72"/>
    </row>
    <row r="13" spans="1:11" s="39" customFormat="1" ht="15" customHeight="1" x14ac:dyDescent="0.25">
      <c r="A13" s="80"/>
      <c r="B13" s="82"/>
      <c r="C13" s="84"/>
      <c r="D13" s="72"/>
      <c r="E13" s="76">
        <v>10</v>
      </c>
      <c r="F13" s="147"/>
      <c r="G13" s="154"/>
      <c r="H13" s="154"/>
      <c r="I13" s="154"/>
      <c r="J13" s="154"/>
      <c r="K13" s="72"/>
    </row>
    <row r="14" spans="1:11" ht="15.75" customHeight="1" x14ac:dyDescent="0.25">
      <c r="A14" s="70" t="s">
        <v>72</v>
      </c>
      <c r="B14" s="46" t="s">
        <v>81</v>
      </c>
      <c r="C14" s="52">
        <v>45808</v>
      </c>
      <c r="E14" s="76">
        <v>11</v>
      </c>
      <c r="F14" s="147"/>
      <c r="G14" s="154"/>
      <c r="H14" s="154"/>
      <c r="I14" s="154"/>
      <c r="J14" s="154"/>
      <c r="K14" s="72"/>
    </row>
    <row r="15" spans="1:11" x14ac:dyDescent="0.25">
      <c r="A15" s="73" t="s">
        <v>14</v>
      </c>
      <c r="B15" s="46" t="s">
        <v>82</v>
      </c>
      <c r="C15" s="52">
        <v>45716</v>
      </c>
      <c r="E15" s="76">
        <v>12</v>
      </c>
      <c r="F15" s="147"/>
      <c r="G15" s="154"/>
      <c r="H15" s="154"/>
      <c r="I15" s="154"/>
      <c r="J15" s="154"/>
    </row>
    <row r="16" spans="1:11" ht="15" customHeight="1" x14ac:dyDescent="0.25">
      <c r="A16" s="73" t="s">
        <v>73</v>
      </c>
      <c r="B16" s="46" t="s">
        <v>83</v>
      </c>
      <c r="C16" s="52">
        <v>45688</v>
      </c>
      <c r="E16" s="76">
        <v>13</v>
      </c>
      <c r="F16" s="147"/>
      <c r="G16" s="154"/>
      <c r="H16" s="154"/>
      <c r="I16" s="154"/>
      <c r="J16" s="154"/>
    </row>
    <row r="17" spans="1:10" ht="15.75" customHeight="1" thickBot="1" x14ac:dyDescent="0.3">
      <c r="A17" s="74" t="s">
        <v>89</v>
      </c>
      <c r="B17" s="51" t="s">
        <v>84</v>
      </c>
      <c r="C17" s="53">
        <v>46142</v>
      </c>
      <c r="E17" s="76">
        <v>14</v>
      </c>
      <c r="F17" s="147"/>
      <c r="G17" s="154"/>
      <c r="H17" s="154"/>
      <c r="I17" s="154"/>
      <c r="J17" s="154"/>
    </row>
    <row r="18" spans="1:10" ht="15" customHeight="1" x14ac:dyDescent="0.25">
      <c r="A18" s="59" t="s">
        <v>85</v>
      </c>
      <c r="B18" s="54"/>
      <c r="C18" s="55"/>
      <c r="E18" s="76">
        <v>15</v>
      </c>
      <c r="F18" s="147"/>
      <c r="G18" s="154"/>
      <c r="H18" s="154"/>
      <c r="I18" s="154"/>
      <c r="J18" s="154"/>
    </row>
    <row r="19" spans="1:10" ht="15.75" customHeight="1" x14ac:dyDescent="0.25">
      <c r="A19" s="56" t="s">
        <v>86</v>
      </c>
      <c r="B19" s="146" t="s">
        <v>94</v>
      </c>
      <c r="C19" s="57"/>
    </row>
    <row r="20" spans="1:10" ht="15.75" thickBot="1" x14ac:dyDescent="0.3">
      <c r="A20" s="50" t="s">
        <v>87</v>
      </c>
      <c r="B20" s="58">
        <v>45575</v>
      </c>
      <c r="C20" s="48"/>
    </row>
    <row r="21" spans="1:10" ht="15" customHeight="1" x14ac:dyDescent="0.25"/>
    <row r="22" spans="1:10" ht="15" customHeight="1" x14ac:dyDescent="0.25"/>
    <row r="23" spans="1:10" ht="15" customHeight="1" x14ac:dyDescent="0.25"/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71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6">
    <mergeCell ref="G2:J2"/>
    <mergeCell ref="F2:F3"/>
    <mergeCell ref="E2:E3"/>
    <mergeCell ref="A12:A13"/>
    <mergeCell ref="B12:B13"/>
    <mergeCell ref="C12:C13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1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5" t="s">
        <v>0</v>
      </c>
      <c r="B1" s="116"/>
      <c r="C1" s="116"/>
      <c r="D1" s="116"/>
      <c r="E1" s="116"/>
      <c r="F1" s="116"/>
      <c r="G1" s="116"/>
      <c r="H1" s="116"/>
      <c r="I1" s="116"/>
      <c r="J1" s="117"/>
    </row>
    <row r="2" spans="1:26" x14ac:dyDescent="0.25">
      <c r="A2" s="115" t="s">
        <v>1</v>
      </c>
      <c r="B2" s="116"/>
      <c r="C2" s="116"/>
      <c r="D2" s="116"/>
      <c r="E2" s="116"/>
      <c r="F2" s="116"/>
      <c r="G2" s="116"/>
      <c r="H2" s="116"/>
      <c r="I2" s="116"/>
      <c r="J2" s="117"/>
    </row>
    <row r="3" spans="1:26" x14ac:dyDescent="0.25">
      <c r="A3" s="118" t="s">
        <v>2</v>
      </c>
      <c r="B3" s="116"/>
      <c r="C3" s="117"/>
      <c r="D3" s="119">
        <f>FormSampel!F4</f>
        <v>2024090036</v>
      </c>
      <c r="E3" s="116"/>
      <c r="F3" s="116"/>
      <c r="G3" s="116"/>
      <c r="H3" s="116"/>
      <c r="I3" s="116"/>
      <c r="J3" s="117"/>
    </row>
    <row r="4" spans="1:26" x14ac:dyDescent="0.25">
      <c r="A4" s="118" t="s">
        <v>3</v>
      </c>
      <c r="B4" s="116"/>
      <c r="C4" s="117"/>
      <c r="D4" s="119" t="str">
        <f>FormSampel!B2</f>
        <v>101024 (1)</v>
      </c>
      <c r="E4" s="116"/>
      <c r="F4" s="116"/>
      <c r="G4" s="116"/>
      <c r="H4" s="116"/>
      <c r="I4" s="116"/>
      <c r="J4" s="117"/>
    </row>
    <row r="5" spans="1:26" ht="15" customHeight="1" x14ac:dyDescent="0.25">
      <c r="A5" s="120" t="s">
        <v>4</v>
      </c>
      <c r="B5" s="116"/>
      <c r="C5" s="116"/>
      <c r="D5" s="116"/>
      <c r="E5" s="116"/>
      <c r="F5" s="116"/>
      <c r="G5" s="116"/>
      <c r="H5" s="116"/>
      <c r="I5" s="116"/>
      <c r="J5" s="11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0" t="s">
        <v>5</v>
      </c>
      <c r="B6" s="116"/>
      <c r="C6" s="116"/>
      <c r="D6" s="116"/>
      <c r="E6" s="116"/>
      <c r="F6" s="116"/>
      <c r="G6" s="116"/>
      <c r="H6" s="116"/>
      <c r="I6" s="116"/>
      <c r="J6" s="117"/>
    </row>
    <row r="7" spans="1:26" ht="30" customHeight="1" x14ac:dyDescent="0.25">
      <c r="A7" s="121" t="s">
        <v>6</v>
      </c>
      <c r="B7" s="111"/>
      <c r="C7" s="122" t="s">
        <v>7</v>
      </c>
      <c r="D7" s="111"/>
      <c r="E7" s="111"/>
      <c r="F7" s="2" t="s">
        <v>8</v>
      </c>
      <c r="G7" s="110" t="s">
        <v>9</v>
      </c>
      <c r="H7" s="111"/>
      <c r="I7" s="111"/>
      <c r="J7" s="112"/>
    </row>
    <row r="8" spans="1:26" ht="15" customHeight="1" x14ac:dyDescent="0.25">
      <c r="A8" s="123" t="s">
        <v>10</v>
      </c>
      <c r="B8" s="105"/>
      <c r="C8" s="124" t="s">
        <v>11</v>
      </c>
      <c r="D8" s="105"/>
      <c r="E8" s="4"/>
      <c r="F8" s="5" t="s">
        <v>12</v>
      </c>
      <c r="G8" s="6" t="s">
        <v>13</v>
      </c>
      <c r="H8" s="6" t="s">
        <v>14</v>
      </c>
      <c r="I8" s="113"/>
      <c r="J8" s="114"/>
    </row>
    <row r="9" spans="1:26" ht="30" customHeight="1" x14ac:dyDescent="0.25">
      <c r="A9" s="125" t="s">
        <v>15</v>
      </c>
      <c r="B9" s="105"/>
      <c r="C9" s="124" t="s">
        <v>16</v>
      </c>
      <c r="D9" s="105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3" t="s">
        <v>20</v>
      </c>
      <c r="B10" s="105"/>
      <c r="C10" s="124" t="s">
        <v>21</v>
      </c>
      <c r="D10" s="105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05"/>
      <c r="C11" s="128" t="s">
        <v>26</v>
      </c>
      <c r="D11" s="105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3" t="s">
        <v>30</v>
      </c>
      <c r="B12" s="105"/>
      <c r="C12" s="124" t="s">
        <v>31</v>
      </c>
      <c r="D12" s="105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3" t="s">
        <v>35</v>
      </c>
      <c r="B13" s="105"/>
      <c r="C13" s="124" t="s">
        <v>36</v>
      </c>
      <c r="D13" s="105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3" t="s">
        <v>40</v>
      </c>
      <c r="B14" s="105"/>
      <c r="C14" s="124" t="s">
        <v>41</v>
      </c>
      <c r="D14" s="105"/>
      <c r="E14" s="7"/>
      <c r="F14" s="126" t="s">
        <v>42</v>
      </c>
      <c r="G14" s="105"/>
      <c r="H14" s="105"/>
      <c r="I14" s="127" t="s">
        <v>43</v>
      </c>
      <c r="J14" s="114"/>
    </row>
    <row r="15" spans="1:26" ht="15" customHeight="1" x14ac:dyDescent="0.25">
      <c r="A15" s="123" t="s">
        <v>44</v>
      </c>
      <c r="B15" s="105"/>
      <c r="C15" s="124" t="s">
        <v>45</v>
      </c>
      <c r="D15" s="105"/>
      <c r="E15" s="7"/>
      <c r="F15" s="43" t="s">
        <v>74</v>
      </c>
      <c r="G15" s="130" t="str">
        <f>FormSampel!B14</f>
        <v>HC 16350373 - 2</v>
      </c>
      <c r="H15" s="130"/>
      <c r="I15" s="85">
        <f>FormSampel!C14</f>
        <v>45808</v>
      </c>
      <c r="J15" s="86"/>
    </row>
    <row r="16" spans="1:26" ht="15" customHeight="1" x14ac:dyDescent="0.25">
      <c r="A16" s="123" t="s">
        <v>46</v>
      </c>
      <c r="B16" s="105"/>
      <c r="C16" s="129" t="s">
        <v>47</v>
      </c>
      <c r="D16" s="105"/>
      <c r="E16" s="105"/>
      <c r="F16" s="44" t="s">
        <v>75</v>
      </c>
      <c r="G16" s="93" t="str">
        <f>FormSampel!B15</f>
        <v>HC 15161426 - 2</v>
      </c>
      <c r="H16" s="93"/>
      <c r="I16" s="85">
        <f>FormSampel!C15</f>
        <v>45716</v>
      </c>
      <c r="J16" s="86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93" t="str">
        <f>FormSampel!B16</f>
        <v>HC 14813176 - 2</v>
      </c>
      <c r="H17" s="93"/>
      <c r="I17" s="85">
        <f>FormSampel!C16</f>
        <v>45688</v>
      </c>
      <c r="J17" s="8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2" t="str">
        <f>FormSampel!B17</f>
        <v>HC 28942277 - 2</v>
      </c>
      <c r="H18" s="92"/>
      <c r="I18" s="87">
        <f>FormSampel!C17</f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94" t="s">
        <v>49</v>
      </c>
      <c r="B20" s="95"/>
      <c r="C20" s="29">
        <f>FormSampel!G4</f>
        <v>95.088999999999999</v>
      </c>
      <c r="D20" s="30" t="s">
        <v>50</v>
      </c>
      <c r="E20" s="31">
        <v>1000</v>
      </c>
      <c r="F20" s="96" t="s">
        <v>51</v>
      </c>
      <c r="G20" s="95"/>
      <c r="H20" s="97" t="str">
        <f>IF(AND(C21&lt;0.15),"&lt;0.15",C21)</f>
        <v>&lt;0.15</v>
      </c>
      <c r="I20" s="98"/>
      <c r="J20" s="32" t="s">
        <v>52</v>
      </c>
    </row>
    <row r="21" spans="1:26" ht="15.75" customHeight="1" x14ac:dyDescent="0.25">
      <c r="A21" s="33" t="s">
        <v>53</v>
      </c>
      <c r="B21" s="34"/>
      <c r="C21" s="99">
        <f>C20/1000</f>
        <v>9.5088999999999993E-2</v>
      </c>
      <c r="D21" s="100"/>
      <c r="E21" s="35"/>
      <c r="F21" s="34"/>
      <c r="G21" s="34"/>
      <c r="H21" s="34"/>
      <c r="I21" s="34"/>
      <c r="J21" s="32"/>
    </row>
    <row r="22" spans="1:26" ht="15.75" customHeight="1" x14ac:dyDescent="0.25">
      <c r="A22" s="101" t="s">
        <v>56</v>
      </c>
      <c r="B22" s="102"/>
      <c r="C22" s="102"/>
      <c r="D22" s="102"/>
      <c r="E22" s="102"/>
      <c r="F22" s="102"/>
      <c r="G22" s="102"/>
      <c r="H22" s="102"/>
      <c r="I22" s="102"/>
      <c r="J22" s="10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4" t="s">
        <v>49</v>
      </c>
      <c r="B23" s="95"/>
      <c r="C23" s="29">
        <f>FormSampel!H4</f>
        <v>13.552</v>
      </c>
      <c r="D23" s="30" t="s">
        <v>50</v>
      </c>
      <c r="E23" s="36">
        <v>1000</v>
      </c>
      <c r="F23" s="96" t="s">
        <v>51</v>
      </c>
      <c r="G23" s="95"/>
      <c r="H23" s="97" t="str">
        <f>IF(C24&lt;0.15,"&lt;0.15",C24)</f>
        <v>&lt;0.15</v>
      </c>
      <c r="I23" s="98"/>
      <c r="J23" s="32" t="s">
        <v>52</v>
      </c>
    </row>
    <row r="24" spans="1:26" ht="15.75" customHeight="1" x14ac:dyDescent="0.25">
      <c r="A24" s="33" t="s">
        <v>53</v>
      </c>
      <c r="B24" s="34"/>
      <c r="C24" s="99">
        <f>C23/1000</f>
        <v>1.3552E-2</v>
      </c>
      <c r="D24" s="100"/>
      <c r="E24" s="35"/>
      <c r="F24" s="34"/>
      <c r="G24" s="34"/>
      <c r="H24" s="34"/>
      <c r="I24" s="34"/>
      <c r="J24" s="32"/>
    </row>
    <row r="25" spans="1:26" ht="15.75" customHeight="1" x14ac:dyDescent="0.25">
      <c r="A25" s="101" t="s">
        <v>54</v>
      </c>
      <c r="B25" s="102"/>
      <c r="C25" s="102"/>
      <c r="D25" s="102"/>
      <c r="E25" s="102"/>
      <c r="F25" s="102"/>
      <c r="G25" s="102"/>
      <c r="H25" s="102"/>
      <c r="I25" s="102"/>
      <c r="J25" s="10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4" t="s">
        <v>49</v>
      </c>
      <c r="B26" s="105"/>
      <c r="C26" s="29">
        <f>FormSampel!I4</f>
        <v>20.216999999999999</v>
      </c>
      <c r="D26" s="30" t="s">
        <v>50</v>
      </c>
      <c r="E26" s="36">
        <v>1000</v>
      </c>
      <c r="F26" s="106" t="s">
        <v>51</v>
      </c>
      <c r="G26" s="95"/>
      <c r="H26" s="97" t="str">
        <f>IF(AND(C27&lt;0.15),"&lt;0.15",C27)</f>
        <v>&lt;0.15</v>
      </c>
      <c r="I26" s="98"/>
      <c r="J26" s="37" t="s">
        <v>52</v>
      </c>
    </row>
    <row r="27" spans="1:26" ht="15.75" customHeight="1" x14ac:dyDescent="0.25">
      <c r="A27" s="33" t="s">
        <v>53</v>
      </c>
      <c r="B27" s="34"/>
      <c r="C27" s="107">
        <f>C26/1000</f>
        <v>2.0216999999999999E-2</v>
      </c>
      <c r="D27" s="108"/>
      <c r="E27" s="35"/>
      <c r="F27" s="34"/>
      <c r="G27" s="34"/>
      <c r="H27" s="34"/>
      <c r="I27" s="34"/>
      <c r="J27" s="32"/>
    </row>
    <row r="28" spans="1:26" ht="15.75" customHeight="1" x14ac:dyDescent="0.25">
      <c r="A28" s="101" t="s">
        <v>55</v>
      </c>
      <c r="B28" s="102"/>
      <c r="C28" s="102"/>
      <c r="D28" s="102"/>
      <c r="E28" s="102"/>
      <c r="F28" s="102"/>
      <c r="G28" s="102"/>
      <c r="H28" s="102"/>
      <c r="I28" s="102"/>
      <c r="J28" s="10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4" t="s">
        <v>49</v>
      </c>
      <c r="B29" s="105"/>
      <c r="C29" s="29">
        <f>FormSampel!J4</f>
        <v>192.56299999999999</v>
      </c>
      <c r="D29" s="30" t="s">
        <v>50</v>
      </c>
      <c r="E29" s="36">
        <v>1000</v>
      </c>
      <c r="F29" s="109" t="s">
        <v>51</v>
      </c>
      <c r="G29" s="105"/>
      <c r="H29" s="97">
        <f>IF(AND(C30&lt;0.15),"&lt;0.15",C30)</f>
        <v>0.19256299999999998</v>
      </c>
      <c r="I29" s="98"/>
      <c r="J29" s="32" t="s">
        <v>52</v>
      </c>
    </row>
    <row r="30" spans="1:26" ht="15.75" customHeight="1" x14ac:dyDescent="0.25">
      <c r="A30" s="33" t="s">
        <v>53</v>
      </c>
      <c r="B30" s="34"/>
      <c r="C30" s="99">
        <f>C29/1000</f>
        <v>0.19256299999999998</v>
      </c>
      <c r="D30" s="100"/>
      <c r="E30" s="35"/>
      <c r="F30" s="34"/>
      <c r="G30" s="34"/>
      <c r="H30" s="34"/>
      <c r="I30" s="34"/>
      <c r="J30" s="32"/>
    </row>
    <row r="31" spans="1:26" ht="15.75" customHeight="1" x14ac:dyDescent="0.25">
      <c r="A31" s="142" t="s">
        <v>57</v>
      </c>
      <c r="B31" s="11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3" t="s">
        <v>59</v>
      </c>
      <c r="C32" s="105"/>
      <c r="D32" s="105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05"/>
      <c r="C33" s="105"/>
      <c r="D33" s="105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43" t="s">
        <v>60</v>
      </c>
      <c r="C34" s="105"/>
      <c r="D34" s="105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05"/>
      <c r="C35" s="105"/>
      <c r="D35" s="105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4" t="s">
        <v>61</v>
      </c>
      <c r="B38" s="111"/>
      <c r="C38" s="111"/>
      <c r="D38" s="111"/>
      <c r="E38" s="112"/>
      <c r="F38" s="131" t="str">
        <f>FormSampel!B19</f>
        <v>PERMIT   AMIR   MAISARAH</v>
      </c>
      <c r="G38" s="132"/>
      <c r="H38" s="135">
        <f>FormSampel!B20</f>
        <v>45575</v>
      </c>
      <c r="I38" s="135"/>
      <c r="J38" s="136"/>
    </row>
    <row r="39" spans="1:26" ht="11.25" customHeight="1" x14ac:dyDescent="0.25">
      <c r="A39" s="140"/>
      <c r="B39" s="141"/>
      <c r="C39" s="141"/>
      <c r="D39" s="141"/>
      <c r="E39" s="145"/>
      <c r="F39" s="133"/>
      <c r="G39" s="134"/>
      <c r="H39" s="137"/>
      <c r="I39" s="137"/>
      <c r="J39" s="138"/>
    </row>
    <row r="40" spans="1:26" ht="15.75" customHeight="1" x14ac:dyDescent="0.25">
      <c r="A40" s="139" t="s">
        <v>62</v>
      </c>
      <c r="B40" s="111"/>
      <c r="C40" s="111"/>
      <c r="D40" s="111"/>
      <c r="E40" s="111"/>
      <c r="F40" s="27"/>
      <c r="G40" s="23"/>
      <c r="H40" s="23"/>
      <c r="I40" s="23"/>
      <c r="J40" s="16"/>
    </row>
    <row r="41" spans="1:26" ht="11.25" customHeight="1" x14ac:dyDescent="0.25">
      <c r="A41" s="140"/>
      <c r="B41" s="141"/>
      <c r="C41" s="141"/>
      <c r="D41" s="141"/>
      <c r="E41" s="14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zoomScale="112" zoomScaleNormal="100" zoomScalePageLayoutView="112" workbookViewId="0">
      <selection activeCell="G32" sqref="G32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5" t="s">
        <v>0</v>
      </c>
      <c r="B1" s="116"/>
      <c r="C1" s="116"/>
      <c r="D1" s="116"/>
      <c r="E1" s="116"/>
      <c r="F1" s="116"/>
      <c r="G1" s="116"/>
      <c r="H1" s="116"/>
      <c r="I1" s="116"/>
      <c r="J1" s="117"/>
    </row>
    <row r="2" spans="1:26" x14ac:dyDescent="0.25">
      <c r="A2" s="115" t="s">
        <v>1</v>
      </c>
      <c r="B2" s="116"/>
      <c r="C2" s="116"/>
      <c r="D2" s="116"/>
      <c r="E2" s="116"/>
      <c r="F2" s="116"/>
      <c r="G2" s="116"/>
      <c r="H2" s="116"/>
      <c r="I2" s="116"/>
      <c r="J2" s="117"/>
    </row>
    <row r="3" spans="1:26" x14ac:dyDescent="0.25">
      <c r="A3" s="118" t="s">
        <v>2</v>
      </c>
      <c r="B3" s="116"/>
      <c r="C3" s="117"/>
      <c r="D3" s="119">
        <f>FormSampel!F5</f>
        <v>2024090108</v>
      </c>
      <c r="E3" s="116"/>
      <c r="F3" s="116"/>
      <c r="G3" s="116"/>
      <c r="H3" s="116"/>
      <c r="I3" s="116"/>
      <c r="J3" s="117"/>
    </row>
    <row r="4" spans="1:26" x14ac:dyDescent="0.25">
      <c r="A4" s="118" t="s">
        <v>3</v>
      </c>
      <c r="B4" s="116"/>
      <c r="C4" s="117"/>
      <c r="D4" s="119" t="str">
        <f>FormSampel!B2</f>
        <v>101024 (1)</v>
      </c>
      <c r="E4" s="116"/>
      <c r="F4" s="116"/>
      <c r="G4" s="116"/>
      <c r="H4" s="116"/>
      <c r="I4" s="116"/>
      <c r="J4" s="117"/>
    </row>
    <row r="5" spans="1:26" ht="15" customHeight="1" x14ac:dyDescent="0.25">
      <c r="A5" s="120" t="s">
        <v>4</v>
      </c>
      <c r="B5" s="116"/>
      <c r="C5" s="116"/>
      <c r="D5" s="116"/>
      <c r="E5" s="116"/>
      <c r="F5" s="116"/>
      <c r="G5" s="116"/>
      <c r="H5" s="116"/>
      <c r="I5" s="116"/>
      <c r="J5" s="11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0" t="s">
        <v>5</v>
      </c>
      <c r="B6" s="116"/>
      <c r="C6" s="116"/>
      <c r="D6" s="116"/>
      <c r="E6" s="116"/>
      <c r="F6" s="116"/>
      <c r="G6" s="116"/>
      <c r="H6" s="116"/>
      <c r="I6" s="116"/>
      <c r="J6" s="117"/>
    </row>
    <row r="7" spans="1:26" ht="30" customHeight="1" x14ac:dyDescent="0.25">
      <c r="A7" s="121" t="s">
        <v>6</v>
      </c>
      <c r="B7" s="111"/>
      <c r="C7" s="122" t="s">
        <v>7</v>
      </c>
      <c r="D7" s="111"/>
      <c r="E7" s="111"/>
      <c r="F7" s="42" t="s">
        <v>8</v>
      </c>
      <c r="G7" s="110" t="s">
        <v>9</v>
      </c>
      <c r="H7" s="111"/>
      <c r="I7" s="111"/>
      <c r="J7" s="112"/>
    </row>
    <row r="8" spans="1:26" ht="15" customHeight="1" x14ac:dyDescent="0.25">
      <c r="A8" s="123" t="s">
        <v>10</v>
      </c>
      <c r="B8" s="105"/>
      <c r="C8" s="124" t="s">
        <v>11</v>
      </c>
      <c r="D8" s="105"/>
      <c r="E8" s="4"/>
      <c r="F8" s="38" t="s">
        <v>12</v>
      </c>
      <c r="G8" s="6" t="s">
        <v>13</v>
      </c>
      <c r="H8" s="6" t="s">
        <v>14</v>
      </c>
      <c r="I8" s="113"/>
      <c r="J8" s="114"/>
    </row>
    <row r="9" spans="1:26" ht="30" customHeight="1" x14ac:dyDescent="0.25">
      <c r="A9" s="125" t="s">
        <v>15</v>
      </c>
      <c r="B9" s="105"/>
      <c r="C9" s="124" t="s">
        <v>16</v>
      </c>
      <c r="D9" s="105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3" t="s">
        <v>20</v>
      </c>
      <c r="B10" s="105"/>
      <c r="C10" s="124" t="s">
        <v>21</v>
      </c>
      <c r="D10" s="105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05"/>
      <c r="C11" s="128" t="s">
        <v>26</v>
      </c>
      <c r="D11" s="105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3" t="s">
        <v>30</v>
      </c>
      <c r="B12" s="105"/>
      <c r="C12" s="124" t="s">
        <v>31</v>
      </c>
      <c r="D12" s="105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3" t="s">
        <v>35</v>
      </c>
      <c r="B13" s="105"/>
      <c r="C13" s="124" t="s">
        <v>36</v>
      </c>
      <c r="D13" s="105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3" t="s">
        <v>40</v>
      </c>
      <c r="B14" s="105"/>
      <c r="C14" s="124" t="s">
        <v>41</v>
      </c>
      <c r="D14" s="105"/>
      <c r="E14" s="7"/>
      <c r="F14" s="126" t="s">
        <v>42</v>
      </c>
      <c r="G14" s="105"/>
      <c r="H14" s="105"/>
      <c r="I14" s="127" t="s">
        <v>43</v>
      </c>
      <c r="J14" s="114"/>
    </row>
    <row r="15" spans="1:26" ht="15" customHeight="1" x14ac:dyDescent="0.25">
      <c r="A15" s="123" t="s">
        <v>44</v>
      </c>
      <c r="B15" s="105"/>
      <c r="C15" s="124" t="s">
        <v>45</v>
      </c>
      <c r="D15" s="105"/>
      <c r="E15" s="7"/>
      <c r="F15" s="43" t="s">
        <v>74</v>
      </c>
      <c r="G15" s="130" t="str">
        <f>FormSampel!B14</f>
        <v>HC 16350373 - 2</v>
      </c>
      <c r="H15" s="130"/>
      <c r="I15" s="85">
        <f>FormSampel!C14</f>
        <v>45808</v>
      </c>
      <c r="J15" s="86"/>
    </row>
    <row r="16" spans="1:26" ht="15" customHeight="1" x14ac:dyDescent="0.25">
      <c r="A16" s="123" t="s">
        <v>46</v>
      </c>
      <c r="B16" s="105"/>
      <c r="C16" s="129" t="s">
        <v>47</v>
      </c>
      <c r="D16" s="105"/>
      <c r="E16" s="105"/>
      <c r="F16" s="44" t="s">
        <v>75</v>
      </c>
      <c r="G16" s="93" t="str">
        <f>FormSampel!B15</f>
        <v>HC 15161426 - 2</v>
      </c>
      <c r="H16" s="93"/>
      <c r="I16" s="85">
        <f>FormSampel!C15</f>
        <v>45716</v>
      </c>
      <c r="J16" s="8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3" t="str">
        <f>FormSampel!B16</f>
        <v>HC 14813176 - 2</v>
      </c>
      <c r="H17" s="93"/>
      <c r="I17" s="85">
        <f>FormSampel!C16</f>
        <v>45688</v>
      </c>
      <c r="J17" s="8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2" t="str">
        <f>FormSampel!B17</f>
        <v>HC 28942277 - 2</v>
      </c>
      <c r="H18" s="92"/>
      <c r="I18" s="87">
        <f>FormSampel!C17</f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94" t="s">
        <v>49</v>
      </c>
      <c r="B20" s="95"/>
      <c r="C20" s="29">
        <f>FormSampel!G5</f>
        <v>24.33</v>
      </c>
      <c r="D20" s="30" t="s">
        <v>50</v>
      </c>
      <c r="E20" s="31">
        <v>1000</v>
      </c>
      <c r="F20" s="96" t="s">
        <v>51</v>
      </c>
      <c r="G20" s="95"/>
      <c r="H20" s="97" t="str">
        <f>IF(AND(C21&lt;0.15),"&lt;0.15",C21)</f>
        <v>&lt;0.15</v>
      </c>
      <c r="I20" s="98"/>
      <c r="J20" s="32" t="s">
        <v>52</v>
      </c>
    </row>
    <row r="21" spans="1:26" ht="15.75" customHeight="1" x14ac:dyDescent="0.25">
      <c r="A21" s="33" t="s">
        <v>53</v>
      </c>
      <c r="B21" s="34"/>
      <c r="C21" s="99">
        <f>C20/1000</f>
        <v>2.4329999999999997E-2</v>
      </c>
      <c r="D21" s="100"/>
      <c r="E21" s="35"/>
      <c r="F21" s="34"/>
      <c r="G21" s="34"/>
      <c r="H21" s="34"/>
      <c r="I21" s="34"/>
      <c r="J21" s="32"/>
    </row>
    <row r="22" spans="1:26" ht="15.75" customHeight="1" x14ac:dyDescent="0.25">
      <c r="A22" s="101" t="s">
        <v>56</v>
      </c>
      <c r="B22" s="102"/>
      <c r="C22" s="102"/>
      <c r="D22" s="102"/>
      <c r="E22" s="102"/>
      <c r="F22" s="102"/>
      <c r="G22" s="102"/>
      <c r="H22" s="102"/>
      <c r="I22" s="102"/>
      <c r="J22" s="10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4" t="s">
        <v>49</v>
      </c>
      <c r="B23" s="95"/>
      <c r="C23" s="29">
        <f>FormSampel!H5</f>
        <v>5.3680000000000003</v>
      </c>
      <c r="D23" s="30" t="s">
        <v>50</v>
      </c>
      <c r="E23" s="36">
        <v>1000</v>
      </c>
      <c r="F23" s="96" t="s">
        <v>51</v>
      </c>
      <c r="G23" s="95"/>
      <c r="H23" s="97" t="str">
        <f>IF(C24&lt;0.15,"&lt;0.15",C24)</f>
        <v>&lt;0.15</v>
      </c>
      <c r="I23" s="98"/>
      <c r="J23" s="32" t="s">
        <v>52</v>
      </c>
    </row>
    <row r="24" spans="1:26" ht="15.75" customHeight="1" x14ac:dyDescent="0.25">
      <c r="A24" s="33" t="s">
        <v>53</v>
      </c>
      <c r="B24" s="34"/>
      <c r="C24" s="99">
        <f>C23/1000</f>
        <v>5.3680000000000004E-3</v>
      </c>
      <c r="D24" s="100"/>
      <c r="E24" s="35"/>
      <c r="F24" s="34"/>
      <c r="G24" s="34"/>
      <c r="H24" s="34"/>
      <c r="I24" s="34"/>
      <c r="J24" s="32"/>
    </row>
    <row r="25" spans="1:26" ht="15.75" customHeight="1" x14ac:dyDescent="0.25">
      <c r="A25" s="101" t="s">
        <v>54</v>
      </c>
      <c r="B25" s="102"/>
      <c r="C25" s="102"/>
      <c r="D25" s="102"/>
      <c r="E25" s="102"/>
      <c r="F25" s="102"/>
      <c r="G25" s="102"/>
      <c r="H25" s="102"/>
      <c r="I25" s="102"/>
      <c r="J25" s="10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4" t="s">
        <v>49</v>
      </c>
      <c r="B26" s="105"/>
      <c r="C26" s="29">
        <f>FormSampel!I5</f>
        <v>14.31</v>
      </c>
      <c r="D26" s="30" t="s">
        <v>50</v>
      </c>
      <c r="E26" s="36">
        <v>1000</v>
      </c>
      <c r="F26" s="106" t="s">
        <v>51</v>
      </c>
      <c r="G26" s="95"/>
      <c r="H26" s="97" t="str">
        <f>IF(AND(C27&lt;0.15),"&lt;0.15",C27)</f>
        <v>&lt;0.15</v>
      </c>
      <c r="I26" s="98"/>
      <c r="J26" s="37" t="s">
        <v>52</v>
      </c>
    </row>
    <row r="27" spans="1:26" ht="15.75" customHeight="1" x14ac:dyDescent="0.25">
      <c r="A27" s="33" t="s">
        <v>53</v>
      </c>
      <c r="B27" s="34"/>
      <c r="C27" s="107">
        <f>C26/1000</f>
        <v>1.431E-2</v>
      </c>
      <c r="D27" s="108"/>
      <c r="E27" s="35"/>
      <c r="F27" s="34"/>
      <c r="G27" s="34"/>
      <c r="H27" s="34"/>
      <c r="I27" s="34"/>
      <c r="J27" s="32"/>
    </row>
    <row r="28" spans="1:26" ht="15.75" customHeight="1" x14ac:dyDescent="0.25">
      <c r="A28" s="101" t="s">
        <v>55</v>
      </c>
      <c r="B28" s="102"/>
      <c r="C28" s="102"/>
      <c r="D28" s="102"/>
      <c r="E28" s="102"/>
      <c r="F28" s="102"/>
      <c r="G28" s="102"/>
      <c r="H28" s="102"/>
      <c r="I28" s="102"/>
      <c r="J28" s="10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4" t="s">
        <v>49</v>
      </c>
      <c r="B29" s="105"/>
      <c r="C29" s="29">
        <f>FormSampel!J5</f>
        <v>354.04</v>
      </c>
      <c r="D29" s="30" t="s">
        <v>50</v>
      </c>
      <c r="E29" s="36">
        <v>1000</v>
      </c>
      <c r="F29" s="109" t="s">
        <v>51</v>
      </c>
      <c r="G29" s="105"/>
      <c r="H29" s="97">
        <f>IF(AND(C30&lt;0.15),"&lt;0.15",C30)</f>
        <v>0.35404000000000002</v>
      </c>
      <c r="I29" s="98"/>
      <c r="J29" s="32" t="s">
        <v>52</v>
      </c>
    </row>
    <row r="30" spans="1:26" ht="15.75" customHeight="1" x14ac:dyDescent="0.25">
      <c r="A30" s="33" t="s">
        <v>53</v>
      </c>
      <c r="B30" s="34"/>
      <c r="C30" s="99">
        <f>C29/1000</f>
        <v>0.35404000000000002</v>
      </c>
      <c r="D30" s="100"/>
      <c r="E30" s="35"/>
      <c r="F30" s="34"/>
      <c r="G30" s="34"/>
      <c r="H30" s="34"/>
      <c r="I30" s="34"/>
      <c r="J30" s="32"/>
    </row>
    <row r="31" spans="1:26" ht="15.75" customHeight="1" x14ac:dyDescent="0.25">
      <c r="A31" s="142" t="s">
        <v>57</v>
      </c>
      <c r="B31" s="11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3" t="s">
        <v>59</v>
      </c>
      <c r="C32" s="105"/>
      <c r="D32" s="105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05"/>
      <c r="C33" s="105"/>
      <c r="D33" s="105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43" t="s">
        <v>60</v>
      </c>
      <c r="C34" s="105"/>
      <c r="D34" s="105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05"/>
      <c r="C35" s="105"/>
      <c r="D35" s="105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4" t="s">
        <v>61</v>
      </c>
      <c r="B38" s="111"/>
      <c r="C38" s="111"/>
      <c r="D38" s="111"/>
      <c r="E38" s="112"/>
      <c r="F38" s="131" t="str">
        <f>FormSampel!B19</f>
        <v>PERMIT   AMIR   MAISARAH</v>
      </c>
      <c r="G38" s="132"/>
      <c r="H38" s="135">
        <f>FormSampel!B20</f>
        <v>45575</v>
      </c>
      <c r="I38" s="135"/>
      <c r="J38" s="136"/>
    </row>
    <row r="39" spans="1:26" ht="11.25" customHeight="1" x14ac:dyDescent="0.25">
      <c r="A39" s="140"/>
      <c r="B39" s="141"/>
      <c r="C39" s="141"/>
      <c r="D39" s="141"/>
      <c r="E39" s="145"/>
      <c r="F39" s="133"/>
      <c r="G39" s="134"/>
      <c r="H39" s="137"/>
      <c r="I39" s="137"/>
      <c r="J39" s="138"/>
    </row>
    <row r="40" spans="1:26" ht="15.75" customHeight="1" x14ac:dyDescent="0.25">
      <c r="A40" s="139" t="s">
        <v>62</v>
      </c>
      <c r="B40" s="111"/>
      <c r="C40" s="111"/>
      <c r="D40" s="111"/>
      <c r="E40" s="111"/>
      <c r="F40" s="27"/>
      <c r="G40" s="23"/>
      <c r="H40" s="23"/>
      <c r="I40" s="23"/>
      <c r="J40" s="16"/>
    </row>
    <row r="41" spans="1:26" ht="11.25" customHeight="1" x14ac:dyDescent="0.25">
      <c r="A41" s="140"/>
      <c r="B41" s="141"/>
      <c r="C41" s="141"/>
      <c r="D41" s="141"/>
      <c r="E41" s="14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5" t="s">
        <v>0</v>
      </c>
      <c r="B1" s="116"/>
      <c r="C1" s="116"/>
      <c r="D1" s="116"/>
      <c r="E1" s="116"/>
      <c r="F1" s="116"/>
      <c r="G1" s="116"/>
      <c r="H1" s="116"/>
      <c r="I1" s="116"/>
      <c r="J1" s="117"/>
    </row>
    <row r="2" spans="1:26" x14ac:dyDescent="0.25">
      <c r="A2" s="115" t="s">
        <v>1</v>
      </c>
      <c r="B2" s="116"/>
      <c r="C2" s="116"/>
      <c r="D2" s="116"/>
      <c r="E2" s="116"/>
      <c r="F2" s="116"/>
      <c r="G2" s="116"/>
      <c r="H2" s="116"/>
      <c r="I2" s="116"/>
      <c r="J2" s="117"/>
    </row>
    <row r="3" spans="1:26" x14ac:dyDescent="0.25">
      <c r="A3" s="118" t="s">
        <v>2</v>
      </c>
      <c r="B3" s="116"/>
      <c r="C3" s="117"/>
      <c r="D3" s="119">
        <f>FormSampel!F6</f>
        <v>0</v>
      </c>
      <c r="E3" s="116"/>
      <c r="F3" s="116"/>
      <c r="G3" s="116"/>
      <c r="H3" s="116"/>
      <c r="I3" s="116"/>
      <c r="J3" s="117"/>
    </row>
    <row r="4" spans="1:26" x14ac:dyDescent="0.25">
      <c r="A4" s="118" t="s">
        <v>3</v>
      </c>
      <c r="B4" s="116"/>
      <c r="C4" s="117"/>
      <c r="D4" s="119" t="str">
        <f>FormSampel!B2</f>
        <v>101024 (1)</v>
      </c>
      <c r="E4" s="116"/>
      <c r="F4" s="116"/>
      <c r="G4" s="116"/>
      <c r="H4" s="116"/>
      <c r="I4" s="116"/>
      <c r="J4" s="117"/>
    </row>
    <row r="5" spans="1:26" ht="15" customHeight="1" x14ac:dyDescent="0.25">
      <c r="A5" s="120" t="s">
        <v>4</v>
      </c>
      <c r="B5" s="116"/>
      <c r="C5" s="116"/>
      <c r="D5" s="116"/>
      <c r="E5" s="116"/>
      <c r="F5" s="116"/>
      <c r="G5" s="116"/>
      <c r="H5" s="116"/>
      <c r="I5" s="116"/>
      <c r="J5" s="11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0" t="s">
        <v>5</v>
      </c>
      <c r="B6" s="116"/>
      <c r="C6" s="116"/>
      <c r="D6" s="116"/>
      <c r="E6" s="116"/>
      <c r="F6" s="116"/>
      <c r="G6" s="116"/>
      <c r="H6" s="116"/>
      <c r="I6" s="116"/>
      <c r="J6" s="117"/>
    </row>
    <row r="7" spans="1:26" ht="30" customHeight="1" x14ac:dyDescent="0.25">
      <c r="A7" s="121" t="s">
        <v>6</v>
      </c>
      <c r="B7" s="111"/>
      <c r="C7" s="122" t="s">
        <v>7</v>
      </c>
      <c r="D7" s="111"/>
      <c r="E7" s="111"/>
      <c r="F7" s="42" t="s">
        <v>8</v>
      </c>
      <c r="G7" s="110" t="s">
        <v>9</v>
      </c>
      <c r="H7" s="111"/>
      <c r="I7" s="111"/>
      <c r="J7" s="112"/>
    </row>
    <row r="8" spans="1:26" ht="15" customHeight="1" x14ac:dyDescent="0.25">
      <c r="A8" s="123" t="s">
        <v>10</v>
      </c>
      <c r="B8" s="105"/>
      <c r="C8" s="124" t="s">
        <v>11</v>
      </c>
      <c r="D8" s="105"/>
      <c r="E8" s="4"/>
      <c r="F8" s="38" t="s">
        <v>12</v>
      </c>
      <c r="G8" s="6" t="s">
        <v>13</v>
      </c>
      <c r="H8" s="6" t="s">
        <v>14</v>
      </c>
      <c r="I8" s="113"/>
      <c r="J8" s="114"/>
    </row>
    <row r="9" spans="1:26" ht="30" customHeight="1" x14ac:dyDescent="0.25">
      <c r="A9" s="125" t="s">
        <v>15</v>
      </c>
      <c r="B9" s="105"/>
      <c r="C9" s="124" t="s">
        <v>16</v>
      </c>
      <c r="D9" s="105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3" t="s">
        <v>20</v>
      </c>
      <c r="B10" s="105"/>
      <c r="C10" s="124" t="s">
        <v>21</v>
      </c>
      <c r="D10" s="105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05"/>
      <c r="C11" s="128" t="s">
        <v>26</v>
      </c>
      <c r="D11" s="105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3" t="s">
        <v>30</v>
      </c>
      <c r="B12" s="105"/>
      <c r="C12" s="124" t="s">
        <v>31</v>
      </c>
      <c r="D12" s="105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3" t="s">
        <v>35</v>
      </c>
      <c r="B13" s="105"/>
      <c r="C13" s="124" t="s">
        <v>36</v>
      </c>
      <c r="D13" s="105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3" t="s">
        <v>40</v>
      </c>
      <c r="B14" s="105"/>
      <c r="C14" s="124" t="s">
        <v>41</v>
      </c>
      <c r="D14" s="105"/>
      <c r="E14" s="7"/>
      <c r="F14" s="126" t="s">
        <v>42</v>
      </c>
      <c r="G14" s="105"/>
      <c r="H14" s="105"/>
      <c r="I14" s="127" t="s">
        <v>43</v>
      </c>
      <c r="J14" s="114"/>
    </row>
    <row r="15" spans="1:26" ht="15" customHeight="1" x14ac:dyDescent="0.25">
      <c r="A15" s="123" t="s">
        <v>44</v>
      </c>
      <c r="B15" s="105"/>
      <c r="C15" s="124" t="s">
        <v>45</v>
      </c>
      <c r="D15" s="105"/>
      <c r="E15" s="7"/>
      <c r="F15" s="43" t="s">
        <v>74</v>
      </c>
      <c r="G15" s="130" t="str">
        <f>FormSampel!B14</f>
        <v>HC 16350373 - 2</v>
      </c>
      <c r="H15" s="130"/>
      <c r="I15" s="85">
        <f>FormSampel!C14</f>
        <v>45808</v>
      </c>
      <c r="J15" s="86"/>
    </row>
    <row r="16" spans="1:26" ht="15" customHeight="1" x14ac:dyDescent="0.25">
      <c r="A16" s="123" t="s">
        <v>46</v>
      </c>
      <c r="B16" s="105"/>
      <c r="C16" s="129" t="s">
        <v>47</v>
      </c>
      <c r="D16" s="105"/>
      <c r="E16" s="105"/>
      <c r="F16" s="44" t="s">
        <v>75</v>
      </c>
      <c r="G16" s="93" t="str">
        <f>FormSampel!B15</f>
        <v>HC 15161426 - 2</v>
      </c>
      <c r="H16" s="93"/>
      <c r="I16" s="85">
        <f>FormSampel!C15</f>
        <v>45716</v>
      </c>
      <c r="J16" s="8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3" t="str">
        <f>FormSampel!B16</f>
        <v>HC 14813176 - 2</v>
      </c>
      <c r="H17" s="93"/>
      <c r="I17" s="85">
        <f>FormSampel!C16</f>
        <v>45688</v>
      </c>
      <c r="J17" s="8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2" t="str">
        <f>FormSampel!B17</f>
        <v>HC 28942277 - 2</v>
      </c>
      <c r="H18" s="92"/>
      <c r="I18" s="87">
        <f>FormSampel!C17</f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94" t="s">
        <v>49</v>
      </c>
      <c r="B20" s="95"/>
      <c r="C20" s="29">
        <f>FormSampel!G6</f>
        <v>0</v>
      </c>
      <c r="D20" s="30" t="s">
        <v>50</v>
      </c>
      <c r="E20" s="31">
        <v>1000</v>
      </c>
      <c r="F20" s="96" t="s">
        <v>51</v>
      </c>
      <c r="G20" s="95"/>
      <c r="H20" s="97" t="str">
        <f>IF(AND(C21&lt;0.15),"&lt;0.15",C21)</f>
        <v>&lt;0.15</v>
      </c>
      <c r="I20" s="98"/>
      <c r="J20" s="32" t="s">
        <v>52</v>
      </c>
    </row>
    <row r="21" spans="1:26" ht="15.75" customHeight="1" x14ac:dyDescent="0.25">
      <c r="A21" s="33" t="s">
        <v>53</v>
      </c>
      <c r="B21" s="34"/>
      <c r="C21" s="99">
        <f>C20/1000</f>
        <v>0</v>
      </c>
      <c r="D21" s="100"/>
      <c r="E21" s="35"/>
      <c r="F21" s="34"/>
      <c r="G21" s="34"/>
      <c r="H21" s="34"/>
      <c r="I21" s="34"/>
      <c r="J21" s="32"/>
    </row>
    <row r="22" spans="1:26" ht="15.75" customHeight="1" x14ac:dyDescent="0.25">
      <c r="A22" s="101" t="s">
        <v>56</v>
      </c>
      <c r="B22" s="102"/>
      <c r="C22" s="102"/>
      <c r="D22" s="102"/>
      <c r="E22" s="102"/>
      <c r="F22" s="102"/>
      <c r="G22" s="102"/>
      <c r="H22" s="102"/>
      <c r="I22" s="102"/>
      <c r="J22" s="10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4" t="s">
        <v>49</v>
      </c>
      <c r="B23" s="95"/>
      <c r="C23" s="29">
        <f>FormSampel!H6</f>
        <v>0</v>
      </c>
      <c r="D23" s="30" t="s">
        <v>50</v>
      </c>
      <c r="E23" s="36">
        <v>1000</v>
      </c>
      <c r="F23" s="96" t="s">
        <v>51</v>
      </c>
      <c r="G23" s="95"/>
      <c r="H23" s="97" t="str">
        <f>IF(C24&lt;0.15,"&lt;0.15",C24)</f>
        <v>&lt;0.15</v>
      </c>
      <c r="I23" s="98"/>
      <c r="J23" s="32" t="s">
        <v>52</v>
      </c>
    </row>
    <row r="24" spans="1:26" ht="15.75" customHeight="1" x14ac:dyDescent="0.25">
      <c r="A24" s="33" t="s">
        <v>53</v>
      </c>
      <c r="B24" s="34"/>
      <c r="C24" s="99">
        <f>C23/1000</f>
        <v>0</v>
      </c>
      <c r="D24" s="100"/>
      <c r="E24" s="35"/>
      <c r="F24" s="34"/>
      <c r="G24" s="34"/>
      <c r="H24" s="34"/>
      <c r="I24" s="34"/>
      <c r="J24" s="32"/>
    </row>
    <row r="25" spans="1:26" ht="15.75" customHeight="1" x14ac:dyDescent="0.25">
      <c r="A25" s="101" t="s">
        <v>54</v>
      </c>
      <c r="B25" s="102"/>
      <c r="C25" s="102"/>
      <c r="D25" s="102"/>
      <c r="E25" s="102"/>
      <c r="F25" s="102"/>
      <c r="G25" s="102"/>
      <c r="H25" s="102"/>
      <c r="I25" s="102"/>
      <c r="J25" s="10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4" t="s">
        <v>49</v>
      </c>
      <c r="B26" s="105"/>
      <c r="C26" s="29">
        <f>FormSampel!I6</f>
        <v>0</v>
      </c>
      <c r="D26" s="30" t="s">
        <v>50</v>
      </c>
      <c r="E26" s="36">
        <v>1000</v>
      </c>
      <c r="F26" s="106" t="s">
        <v>51</v>
      </c>
      <c r="G26" s="95"/>
      <c r="H26" s="97" t="str">
        <f>IF(AND(C27&lt;0.15),"&lt;0.15",C27)</f>
        <v>&lt;0.15</v>
      </c>
      <c r="I26" s="98"/>
      <c r="J26" s="37" t="s">
        <v>52</v>
      </c>
    </row>
    <row r="27" spans="1:26" ht="15.75" customHeight="1" x14ac:dyDescent="0.25">
      <c r="A27" s="33" t="s">
        <v>53</v>
      </c>
      <c r="B27" s="34"/>
      <c r="C27" s="107">
        <f>C26/1000</f>
        <v>0</v>
      </c>
      <c r="D27" s="108"/>
      <c r="E27" s="35"/>
      <c r="F27" s="34"/>
      <c r="G27" s="34"/>
      <c r="H27" s="34"/>
      <c r="I27" s="34"/>
      <c r="J27" s="32"/>
    </row>
    <row r="28" spans="1:26" ht="15.75" customHeight="1" x14ac:dyDescent="0.25">
      <c r="A28" s="101" t="s">
        <v>55</v>
      </c>
      <c r="B28" s="102"/>
      <c r="C28" s="102"/>
      <c r="D28" s="102"/>
      <c r="E28" s="102"/>
      <c r="F28" s="102"/>
      <c r="G28" s="102"/>
      <c r="H28" s="102"/>
      <c r="I28" s="102"/>
      <c r="J28" s="10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4" t="s">
        <v>49</v>
      </c>
      <c r="B29" s="105"/>
      <c r="C29" s="29">
        <f>FormSampel!J6</f>
        <v>0</v>
      </c>
      <c r="D29" s="30" t="s">
        <v>50</v>
      </c>
      <c r="E29" s="36">
        <v>1000</v>
      </c>
      <c r="F29" s="109" t="s">
        <v>51</v>
      </c>
      <c r="G29" s="105"/>
      <c r="H29" s="97" t="str">
        <f>IF(AND(C30&lt;0.15),"&lt;0.15",C30)</f>
        <v>&lt;0.15</v>
      </c>
      <c r="I29" s="98"/>
      <c r="J29" s="32" t="s">
        <v>52</v>
      </c>
    </row>
    <row r="30" spans="1:26" ht="15.75" customHeight="1" x14ac:dyDescent="0.25">
      <c r="A30" s="33" t="s">
        <v>53</v>
      </c>
      <c r="B30" s="34"/>
      <c r="C30" s="99">
        <f>C29/1000</f>
        <v>0</v>
      </c>
      <c r="D30" s="100"/>
      <c r="E30" s="35"/>
      <c r="F30" s="34"/>
      <c r="G30" s="34"/>
      <c r="H30" s="34"/>
      <c r="I30" s="34"/>
      <c r="J30" s="32"/>
    </row>
    <row r="31" spans="1:26" ht="15.75" customHeight="1" x14ac:dyDescent="0.25">
      <c r="A31" s="142" t="s">
        <v>57</v>
      </c>
      <c r="B31" s="11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3" t="s">
        <v>59</v>
      </c>
      <c r="C32" s="105"/>
      <c r="D32" s="105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05"/>
      <c r="C33" s="105"/>
      <c r="D33" s="105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43" t="s">
        <v>60</v>
      </c>
      <c r="C34" s="105"/>
      <c r="D34" s="105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05"/>
      <c r="C35" s="105"/>
      <c r="D35" s="105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4" t="s">
        <v>61</v>
      </c>
      <c r="B38" s="111"/>
      <c r="C38" s="111"/>
      <c r="D38" s="111"/>
      <c r="E38" s="112"/>
      <c r="F38" s="131" t="str">
        <f>FormSampel!B19</f>
        <v>PERMIT   AMIR   MAISARAH</v>
      </c>
      <c r="G38" s="132"/>
      <c r="H38" s="135">
        <f>FormSampel!B20</f>
        <v>45575</v>
      </c>
      <c r="I38" s="135"/>
      <c r="J38" s="136"/>
    </row>
    <row r="39" spans="1:26" ht="11.25" customHeight="1" x14ac:dyDescent="0.25">
      <c r="A39" s="140"/>
      <c r="B39" s="141"/>
      <c r="C39" s="141"/>
      <c r="D39" s="141"/>
      <c r="E39" s="145"/>
      <c r="F39" s="133"/>
      <c r="G39" s="134"/>
      <c r="H39" s="137"/>
      <c r="I39" s="137"/>
      <c r="J39" s="138"/>
    </row>
    <row r="40" spans="1:26" ht="15.75" customHeight="1" x14ac:dyDescent="0.25">
      <c r="A40" s="139" t="s">
        <v>62</v>
      </c>
      <c r="B40" s="111"/>
      <c r="C40" s="111"/>
      <c r="D40" s="111"/>
      <c r="E40" s="111"/>
      <c r="F40" s="27"/>
      <c r="G40" s="23"/>
      <c r="H40" s="23"/>
      <c r="I40" s="23"/>
      <c r="J40" s="16"/>
    </row>
    <row r="41" spans="1:26" ht="11.25" customHeight="1" x14ac:dyDescent="0.25">
      <c r="A41" s="140"/>
      <c r="B41" s="141"/>
      <c r="C41" s="141"/>
      <c r="D41" s="141"/>
      <c r="E41" s="14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5" t="s">
        <v>0</v>
      </c>
      <c r="B1" s="116"/>
      <c r="C1" s="116"/>
      <c r="D1" s="116"/>
      <c r="E1" s="116"/>
      <c r="F1" s="116"/>
      <c r="G1" s="116"/>
      <c r="H1" s="116"/>
      <c r="I1" s="116"/>
      <c r="J1" s="117"/>
    </row>
    <row r="2" spans="1:26" x14ac:dyDescent="0.25">
      <c r="A2" s="115" t="s">
        <v>1</v>
      </c>
      <c r="B2" s="116"/>
      <c r="C2" s="116"/>
      <c r="D2" s="116"/>
      <c r="E2" s="116"/>
      <c r="F2" s="116"/>
      <c r="G2" s="116"/>
      <c r="H2" s="116"/>
      <c r="I2" s="116"/>
      <c r="J2" s="117"/>
    </row>
    <row r="3" spans="1:26" x14ac:dyDescent="0.25">
      <c r="A3" s="118" t="s">
        <v>2</v>
      </c>
      <c r="B3" s="116"/>
      <c r="C3" s="117"/>
      <c r="D3" s="119">
        <f>FormSampel!F7</f>
        <v>0</v>
      </c>
      <c r="E3" s="116"/>
      <c r="F3" s="116"/>
      <c r="G3" s="116"/>
      <c r="H3" s="116"/>
      <c r="I3" s="116"/>
      <c r="J3" s="117"/>
    </row>
    <row r="4" spans="1:26" x14ac:dyDescent="0.25">
      <c r="A4" s="118" t="s">
        <v>3</v>
      </c>
      <c r="B4" s="116"/>
      <c r="C4" s="117"/>
      <c r="D4" s="119" t="str">
        <f>FormSampel!B2</f>
        <v>101024 (1)</v>
      </c>
      <c r="E4" s="116"/>
      <c r="F4" s="116"/>
      <c r="G4" s="116"/>
      <c r="H4" s="116"/>
      <c r="I4" s="116"/>
      <c r="J4" s="117"/>
    </row>
    <row r="5" spans="1:26" ht="15" customHeight="1" x14ac:dyDescent="0.25">
      <c r="A5" s="120" t="s">
        <v>4</v>
      </c>
      <c r="B5" s="116"/>
      <c r="C5" s="116"/>
      <c r="D5" s="116"/>
      <c r="E5" s="116"/>
      <c r="F5" s="116"/>
      <c r="G5" s="116"/>
      <c r="H5" s="116"/>
      <c r="I5" s="116"/>
      <c r="J5" s="11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0" t="s">
        <v>5</v>
      </c>
      <c r="B6" s="116"/>
      <c r="C6" s="116"/>
      <c r="D6" s="116"/>
      <c r="E6" s="116"/>
      <c r="F6" s="116"/>
      <c r="G6" s="116"/>
      <c r="H6" s="116"/>
      <c r="I6" s="116"/>
      <c r="J6" s="117"/>
    </row>
    <row r="7" spans="1:26" ht="30" customHeight="1" x14ac:dyDescent="0.25">
      <c r="A7" s="121" t="s">
        <v>6</v>
      </c>
      <c r="B7" s="111"/>
      <c r="C7" s="122" t="s">
        <v>7</v>
      </c>
      <c r="D7" s="111"/>
      <c r="E7" s="111"/>
      <c r="F7" s="42" t="s">
        <v>8</v>
      </c>
      <c r="G7" s="110" t="s">
        <v>9</v>
      </c>
      <c r="H7" s="111"/>
      <c r="I7" s="111"/>
      <c r="J7" s="112"/>
    </row>
    <row r="8" spans="1:26" ht="15" customHeight="1" x14ac:dyDescent="0.25">
      <c r="A8" s="123" t="s">
        <v>10</v>
      </c>
      <c r="B8" s="105"/>
      <c r="C8" s="124" t="s">
        <v>11</v>
      </c>
      <c r="D8" s="105"/>
      <c r="E8" s="4"/>
      <c r="F8" s="38" t="s">
        <v>12</v>
      </c>
      <c r="G8" s="6" t="s">
        <v>13</v>
      </c>
      <c r="H8" s="6" t="s">
        <v>14</v>
      </c>
      <c r="I8" s="113"/>
      <c r="J8" s="114"/>
    </row>
    <row r="9" spans="1:26" ht="30" customHeight="1" x14ac:dyDescent="0.25">
      <c r="A9" s="125" t="s">
        <v>15</v>
      </c>
      <c r="B9" s="105"/>
      <c r="C9" s="124" t="s">
        <v>16</v>
      </c>
      <c r="D9" s="105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3" t="s">
        <v>20</v>
      </c>
      <c r="B10" s="105"/>
      <c r="C10" s="124" t="s">
        <v>21</v>
      </c>
      <c r="D10" s="105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05"/>
      <c r="C11" s="128" t="s">
        <v>26</v>
      </c>
      <c r="D11" s="105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3" t="s">
        <v>30</v>
      </c>
      <c r="B12" s="105"/>
      <c r="C12" s="124" t="s">
        <v>31</v>
      </c>
      <c r="D12" s="105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3" t="s">
        <v>35</v>
      </c>
      <c r="B13" s="105"/>
      <c r="C13" s="124" t="s">
        <v>36</v>
      </c>
      <c r="D13" s="105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3" t="s">
        <v>40</v>
      </c>
      <c r="B14" s="105"/>
      <c r="C14" s="124" t="s">
        <v>41</v>
      </c>
      <c r="D14" s="105"/>
      <c r="E14" s="7"/>
      <c r="F14" s="126" t="s">
        <v>42</v>
      </c>
      <c r="G14" s="105"/>
      <c r="H14" s="105"/>
      <c r="I14" s="127" t="s">
        <v>43</v>
      </c>
      <c r="J14" s="114"/>
    </row>
    <row r="15" spans="1:26" ht="15" customHeight="1" x14ac:dyDescent="0.25">
      <c r="A15" s="123" t="s">
        <v>44</v>
      </c>
      <c r="B15" s="105"/>
      <c r="C15" s="124" t="s">
        <v>45</v>
      </c>
      <c r="D15" s="105"/>
      <c r="E15" s="7"/>
      <c r="F15" s="43" t="s">
        <v>74</v>
      </c>
      <c r="G15" s="130" t="str">
        <f>FormSampel!B14</f>
        <v>HC 16350373 - 2</v>
      </c>
      <c r="H15" s="130"/>
      <c r="I15" s="85">
        <f>FormSampel!C14</f>
        <v>45808</v>
      </c>
      <c r="J15" s="86"/>
    </row>
    <row r="16" spans="1:26" ht="15" customHeight="1" x14ac:dyDescent="0.25">
      <c r="A16" s="123" t="s">
        <v>46</v>
      </c>
      <c r="B16" s="105"/>
      <c r="C16" s="129" t="s">
        <v>47</v>
      </c>
      <c r="D16" s="105"/>
      <c r="E16" s="105"/>
      <c r="F16" s="44" t="s">
        <v>75</v>
      </c>
      <c r="G16" s="93" t="str">
        <f>FormSampel!B15</f>
        <v>HC 15161426 - 2</v>
      </c>
      <c r="H16" s="93"/>
      <c r="I16" s="85">
        <f>FormSampel!C15</f>
        <v>45716</v>
      </c>
      <c r="J16" s="8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3" t="str">
        <f>FormSampel!B16</f>
        <v>HC 14813176 - 2</v>
      </c>
      <c r="H17" s="93"/>
      <c r="I17" s="85">
        <f>FormSampel!C16</f>
        <v>45688</v>
      </c>
      <c r="J17" s="8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2" t="str">
        <f>FormSampel!B17</f>
        <v>HC 28942277 - 2</v>
      </c>
      <c r="H18" s="92"/>
      <c r="I18" s="87">
        <f>FormSampel!C17</f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94" t="s">
        <v>49</v>
      </c>
      <c r="B20" s="95"/>
      <c r="C20" s="29">
        <f>FormSampel!G7</f>
        <v>0</v>
      </c>
      <c r="D20" s="30" t="s">
        <v>50</v>
      </c>
      <c r="E20" s="31">
        <v>1000</v>
      </c>
      <c r="F20" s="96" t="s">
        <v>51</v>
      </c>
      <c r="G20" s="95"/>
      <c r="H20" s="97" t="str">
        <f>IF(AND(C21&lt;0.15),"&lt;0.15",C21)</f>
        <v>&lt;0.15</v>
      </c>
      <c r="I20" s="98"/>
      <c r="J20" s="32" t="s">
        <v>52</v>
      </c>
    </row>
    <row r="21" spans="1:26" ht="15.75" customHeight="1" x14ac:dyDescent="0.25">
      <c r="A21" s="33" t="s">
        <v>53</v>
      </c>
      <c r="B21" s="34"/>
      <c r="C21" s="99">
        <f>C20/1000</f>
        <v>0</v>
      </c>
      <c r="D21" s="100"/>
      <c r="E21" s="35"/>
      <c r="F21" s="34"/>
      <c r="G21" s="34"/>
      <c r="H21" s="34"/>
      <c r="I21" s="34"/>
      <c r="J21" s="32"/>
    </row>
    <row r="22" spans="1:26" ht="15.75" customHeight="1" x14ac:dyDescent="0.25">
      <c r="A22" s="101" t="s">
        <v>56</v>
      </c>
      <c r="B22" s="102"/>
      <c r="C22" s="102"/>
      <c r="D22" s="102"/>
      <c r="E22" s="102"/>
      <c r="F22" s="102"/>
      <c r="G22" s="102"/>
      <c r="H22" s="102"/>
      <c r="I22" s="102"/>
      <c r="J22" s="10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4" t="s">
        <v>49</v>
      </c>
      <c r="B23" s="95"/>
      <c r="C23" s="29">
        <f>FormSampel!H7</f>
        <v>0</v>
      </c>
      <c r="D23" s="30" t="s">
        <v>50</v>
      </c>
      <c r="E23" s="36">
        <v>1000</v>
      </c>
      <c r="F23" s="96" t="s">
        <v>51</v>
      </c>
      <c r="G23" s="95"/>
      <c r="H23" s="97" t="str">
        <f>IF(C24&lt;0.15,"&lt;0.15",C24)</f>
        <v>&lt;0.15</v>
      </c>
      <c r="I23" s="98"/>
      <c r="J23" s="32" t="s">
        <v>52</v>
      </c>
    </row>
    <row r="24" spans="1:26" ht="15.75" customHeight="1" x14ac:dyDescent="0.25">
      <c r="A24" s="33" t="s">
        <v>53</v>
      </c>
      <c r="B24" s="34"/>
      <c r="C24" s="99">
        <f>C23/1000</f>
        <v>0</v>
      </c>
      <c r="D24" s="100"/>
      <c r="E24" s="35"/>
      <c r="F24" s="34"/>
      <c r="G24" s="34"/>
      <c r="H24" s="34"/>
      <c r="I24" s="34"/>
      <c r="J24" s="32"/>
    </row>
    <row r="25" spans="1:26" ht="15.75" customHeight="1" x14ac:dyDescent="0.25">
      <c r="A25" s="101" t="s">
        <v>54</v>
      </c>
      <c r="B25" s="102"/>
      <c r="C25" s="102"/>
      <c r="D25" s="102"/>
      <c r="E25" s="102"/>
      <c r="F25" s="102"/>
      <c r="G25" s="102"/>
      <c r="H25" s="102"/>
      <c r="I25" s="102"/>
      <c r="J25" s="10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4" t="s">
        <v>49</v>
      </c>
      <c r="B26" s="105"/>
      <c r="C26" s="29">
        <f>FormSampel!I7</f>
        <v>0</v>
      </c>
      <c r="D26" s="30" t="s">
        <v>50</v>
      </c>
      <c r="E26" s="36">
        <v>1000</v>
      </c>
      <c r="F26" s="106" t="s">
        <v>51</v>
      </c>
      <c r="G26" s="95"/>
      <c r="H26" s="97" t="str">
        <f>IF(AND(C27&lt;0.15),"&lt;0.15",C27)</f>
        <v>&lt;0.15</v>
      </c>
      <c r="I26" s="98"/>
      <c r="J26" s="37" t="s">
        <v>52</v>
      </c>
    </row>
    <row r="27" spans="1:26" ht="15.75" customHeight="1" x14ac:dyDescent="0.25">
      <c r="A27" s="33" t="s">
        <v>53</v>
      </c>
      <c r="B27" s="34"/>
      <c r="C27" s="107">
        <f>C26/1000</f>
        <v>0</v>
      </c>
      <c r="D27" s="108"/>
      <c r="E27" s="35"/>
      <c r="F27" s="34"/>
      <c r="G27" s="34"/>
      <c r="H27" s="34"/>
      <c r="I27" s="34"/>
      <c r="J27" s="32"/>
    </row>
    <row r="28" spans="1:26" ht="15.75" customHeight="1" x14ac:dyDescent="0.25">
      <c r="A28" s="101" t="s">
        <v>55</v>
      </c>
      <c r="B28" s="102"/>
      <c r="C28" s="102"/>
      <c r="D28" s="102"/>
      <c r="E28" s="102"/>
      <c r="F28" s="102"/>
      <c r="G28" s="102"/>
      <c r="H28" s="102"/>
      <c r="I28" s="102"/>
      <c r="J28" s="10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4" t="s">
        <v>49</v>
      </c>
      <c r="B29" s="105"/>
      <c r="C29" s="29">
        <f>FormSampel!J7</f>
        <v>0</v>
      </c>
      <c r="D29" s="30" t="s">
        <v>50</v>
      </c>
      <c r="E29" s="36">
        <v>1000</v>
      </c>
      <c r="F29" s="109" t="s">
        <v>51</v>
      </c>
      <c r="G29" s="105"/>
      <c r="H29" s="97" t="str">
        <f>IF(AND(C30&lt;0.15),"&lt;0.15",C30)</f>
        <v>&lt;0.15</v>
      </c>
      <c r="I29" s="98"/>
      <c r="J29" s="32" t="s">
        <v>52</v>
      </c>
    </row>
    <row r="30" spans="1:26" ht="15.75" customHeight="1" x14ac:dyDescent="0.25">
      <c r="A30" s="33" t="s">
        <v>53</v>
      </c>
      <c r="B30" s="34"/>
      <c r="C30" s="99">
        <f>C29/1000</f>
        <v>0</v>
      </c>
      <c r="D30" s="100"/>
      <c r="E30" s="35"/>
      <c r="F30" s="34"/>
      <c r="G30" s="34"/>
      <c r="H30" s="34"/>
      <c r="I30" s="34"/>
      <c r="J30" s="32"/>
    </row>
    <row r="31" spans="1:26" ht="15.75" customHeight="1" x14ac:dyDescent="0.25">
      <c r="A31" s="142" t="s">
        <v>57</v>
      </c>
      <c r="B31" s="11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3" t="s">
        <v>59</v>
      </c>
      <c r="C32" s="105"/>
      <c r="D32" s="105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05"/>
      <c r="C33" s="105"/>
      <c r="D33" s="105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43" t="s">
        <v>60</v>
      </c>
      <c r="C34" s="105"/>
      <c r="D34" s="105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05"/>
      <c r="C35" s="105"/>
      <c r="D35" s="105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4" t="s">
        <v>61</v>
      </c>
      <c r="B38" s="111"/>
      <c r="C38" s="111"/>
      <c r="D38" s="111"/>
      <c r="E38" s="112"/>
      <c r="F38" s="131" t="str">
        <f>FormSampel!B19</f>
        <v>PERMIT   AMIR   MAISARAH</v>
      </c>
      <c r="G38" s="132"/>
      <c r="H38" s="135">
        <f>FormSampel!B20</f>
        <v>45575</v>
      </c>
      <c r="I38" s="135"/>
      <c r="J38" s="136"/>
    </row>
    <row r="39" spans="1:26" ht="11.25" customHeight="1" x14ac:dyDescent="0.25">
      <c r="A39" s="140"/>
      <c r="B39" s="141"/>
      <c r="C39" s="141"/>
      <c r="D39" s="141"/>
      <c r="E39" s="145"/>
      <c r="F39" s="133"/>
      <c r="G39" s="134"/>
      <c r="H39" s="137"/>
      <c r="I39" s="137"/>
      <c r="J39" s="138"/>
    </row>
    <row r="40" spans="1:26" ht="15.75" customHeight="1" x14ac:dyDescent="0.25">
      <c r="A40" s="139" t="s">
        <v>62</v>
      </c>
      <c r="B40" s="111"/>
      <c r="C40" s="111"/>
      <c r="D40" s="111"/>
      <c r="E40" s="111"/>
      <c r="F40" s="27"/>
      <c r="G40" s="23"/>
      <c r="H40" s="23"/>
      <c r="I40" s="23"/>
      <c r="J40" s="16"/>
    </row>
    <row r="41" spans="1:26" ht="11.25" customHeight="1" x14ac:dyDescent="0.25">
      <c r="A41" s="140"/>
      <c r="B41" s="141"/>
      <c r="C41" s="141"/>
      <c r="D41" s="141"/>
      <c r="E41" s="14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5" t="s">
        <v>0</v>
      </c>
      <c r="B1" s="116"/>
      <c r="C1" s="116"/>
      <c r="D1" s="116"/>
      <c r="E1" s="116"/>
      <c r="F1" s="116"/>
      <c r="G1" s="116"/>
      <c r="H1" s="116"/>
      <c r="I1" s="116"/>
      <c r="J1" s="117"/>
    </row>
    <row r="2" spans="1:26" x14ac:dyDescent="0.25">
      <c r="A2" s="115" t="s">
        <v>1</v>
      </c>
      <c r="B2" s="116"/>
      <c r="C2" s="116"/>
      <c r="D2" s="116"/>
      <c r="E2" s="116"/>
      <c r="F2" s="116"/>
      <c r="G2" s="116"/>
      <c r="H2" s="116"/>
      <c r="I2" s="116"/>
      <c r="J2" s="117"/>
    </row>
    <row r="3" spans="1:26" x14ac:dyDescent="0.25">
      <c r="A3" s="118" t="s">
        <v>2</v>
      </c>
      <c r="B3" s="116"/>
      <c r="C3" s="117"/>
      <c r="D3" s="119">
        <f>FormSampel!F8</f>
        <v>0</v>
      </c>
      <c r="E3" s="116"/>
      <c r="F3" s="116"/>
      <c r="G3" s="116"/>
      <c r="H3" s="116"/>
      <c r="I3" s="116"/>
      <c r="J3" s="117"/>
    </row>
    <row r="4" spans="1:26" x14ac:dyDescent="0.25">
      <c r="A4" s="118" t="s">
        <v>3</v>
      </c>
      <c r="B4" s="116"/>
      <c r="C4" s="117"/>
      <c r="D4" s="119" t="str">
        <f>FormSampel!B2</f>
        <v>101024 (1)</v>
      </c>
      <c r="E4" s="116"/>
      <c r="F4" s="116"/>
      <c r="G4" s="116"/>
      <c r="H4" s="116"/>
      <c r="I4" s="116"/>
      <c r="J4" s="117"/>
    </row>
    <row r="5" spans="1:26" ht="15" customHeight="1" x14ac:dyDescent="0.25">
      <c r="A5" s="120" t="s">
        <v>4</v>
      </c>
      <c r="B5" s="116"/>
      <c r="C5" s="116"/>
      <c r="D5" s="116"/>
      <c r="E5" s="116"/>
      <c r="F5" s="116"/>
      <c r="G5" s="116"/>
      <c r="H5" s="116"/>
      <c r="I5" s="116"/>
      <c r="J5" s="11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0" t="s">
        <v>5</v>
      </c>
      <c r="B6" s="116"/>
      <c r="C6" s="116"/>
      <c r="D6" s="116"/>
      <c r="E6" s="116"/>
      <c r="F6" s="116"/>
      <c r="G6" s="116"/>
      <c r="H6" s="116"/>
      <c r="I6" s="116"/>
      <c r="J6" s="117"/>
    </row>
    <row r="7" spans="1:26" ht="30" customHeight="1" x14ac:dyDescent="0.25">
      <c r="A7" s="121" t="s">
        <v>6</v>
      </c>
      <c r="B7" s="111"/>
      <c r="C7" s="122" t="s">
        <v>7</v>
      </c>
      <c r="D7" s="111"/>
      <c r="E7" s="111"/>
      <c r="F7" s="42" t="s">
        <v>8</v>
      </c>
      <c r="G7" s="110" t="s">
        <v>9</v>
      </c>
      <c r="H7" s="111"/>
      <c r="I7" s="111"/>
      <c r="J7" s="112"/>
    </row>
    <row r="8" spans="1:26" ht="15" customHeight="1" x14ac:dyDescent="0.25">
      <c r="A8" s="123" t="s">
        <v>10</v>
      </c>
      <c r="B8" s="105"/>
      <c r="C8" s="124" t="s">
        <v>11</v>
      </c>
      <c r="D8" s="105"/>
      <c r="E8" s="4"/>
      <c r="F8" s="38" t="s">
        <v>12</v>
      </c>
      <c r="G8" s="6" t="s">
        <v>13</v>
      </c>
      <c r="H8" s="6" t="s">
        <v>14</v>
      </c>
      <c r="I8" s="113"/>
      <c r="J8" s="114"/>
    </row>
    <row r="9" spans="1:26" ht="30" customHeight="1" x14ac:dyDescent="0.25">
      <c r="A9" s="125" t="s">
        <v>15</v>
      </c>
      <c r="B9" s="105"/>
      <c r="C9" s="124" t="s">
        <v>16</v>
      </c>
      <c r="D9" s="105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3" t="s">
        <v>20</v>
      </c>
      <c r="B10" s="105"/>
      <c r="C10" s="124" t="s">
        <v>21</v>
      </c>
      <c r="D10" s="105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05"/>
      <c r="C11" s="128" t="s">
        <v>26</v>
      </c>
      <c r="D11" s="105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3" t="s">
        <v>30</v>
      </c>
      <c r="B12" s="105"/>
      <c r="C12" s="124" t="s">
        <v>31</v>
      </c>
      <c r="D12" s="105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3" t="s">
        <v>35</v>
      </c>
      <c r="B13" s="105"/>
      <c r="C13" s="124" t="s">
        <v>36</v>
      </c>
      <c r="D13" s="105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3" t="s">
        <v>40</v>
      </c>
      <c r="B14" s="105"/>
      <c r="C14" s="124" t="s">
        <v>41</v>
      </c>
      <c r="D14" s="105"/>
      <c r="E14" s="7"/>
      <c r="F14" s="126" t="s">
        <v>42</v>
      </c>
      <c r="G14" s="105"/>
      <c r="H14" s="105"/>
      <c r="I14" s="127" t="s">
        <v>43</v>
      </c>
      <c r="J14" s="114"/>
    </row>
    <row r="15" spans="1:26" ht="15" customHeight="1" x14ac:dyDescent="0.25">
      <c r="A15" s="123" t="s">
        <v>44</v>
      </c>
      <c r="B15" s="105"/>
      <c r="C15" s="124" t="s">
        <v>45</v>
      </c>
      <c r="D15" s="105"/>
      <c r="E15" s="7"/>
      <c r="F15" s="43" t="s">
        <v>74</v>
      </c>
      <c r="G15" s="130" t="str">
        <f>FormSampel!B14</f>
        <v>HC 16350373 - 2</v>
      </c>
      <c r="H15" s="130"/>
      <c r="I15" s="85">
        <f>FormSampel!C14</f>
        <v>45808</v>
      </c>
      <c r="J15" s="86"/>
    </row>
    <row r="16" spans="1:26" ht="15" customHeight="1" x14ac:dyDescent="0.25">
      <c r="A16" s="123" t="s">
        <v>46</v>
      </c>
      <c r="B16" s="105"/>
      <c r="C16" s="129" t="s">
        <v>47</v>
      </c>
      <c r="D16" s="105"/>
      <c r="E16" s="105"/>
      <c r="F16" s="44" t="s">
        <v>75</v>
      </c>
      <c r="G16" s="93" t="str">
        <f>FormSampel!B15</f>
        <v>HC 15161426 - 2</v>
      </c>
      <c r="H16" s="93"/>
      <c r="I16" s="85">
        <f>FormSampel!C15</f>
        <v>45716</v>
      </c>
      <c r="J16" s="8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3" t="str">
        <f>FormSampel!B16</f>
        <v>HC 14813176 - 2</v>
      </c>
      <c r="H17" s="93"/>
      <c r="I17" s="85">
        <f>FormSampel!C16</f>
        <v>45688</v>
      </c>
      <c r="J17" s="8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2" t="str">
        <f>FormSampel!B17</f>
        <v>HC 28942277 - 2</v>
      </c>
      <c r="H18" s="92"/>
      <c r="I18" s="87">
        <f>FormSampel!C17</f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94" t="s">
        <v>49</v>
      </c>
      <c r="B20" s="95"/>
      <c r="C20" s="29">
        <f>FormSampel!G8</f>
        <v>0</v>
      </c>
      <c r="D20" s="30" t="s">
        <v>50</v>
      </c>
      <c r="E20" s="31">
        <v>1000</v>
      </c>
      <c r="F20" s="96" t="s">
        <v>51</v>
      </c>
      <c r="G20" s="95"/>
      <c r="H20" s="97" t="str">
        <f>IF(AND(C21&lt;0.15),"&lt;0.15",C21)</f>
        <v>&lt;0.15</v>
      </c>
      <c r="I20" s="98"/>
      <c r="J20" s="32" t="s">
        <v>52</v>
      </c>
    </row>
    <row r="21" spans="1:26" ht="15.75" customHeight="1" x14ac:dyDescent="0.25">
      <c r="A21" s="33" t="s">
        <v>53</v>
      </c>
      <c r="B21" s="34"/>
      <c r="C21" s="99">
        <f>C20/1000</f>
        <v>0</v>
      </c>
      <c r="D21" s="100"/>
      <c r="E21" s="35"/>
      <c r="F21" s="34"/>
      <c r="G21" s="34"/>
      <c r="H21" s="34"/>
      <c r="I21" s="34"/>
      <c r="J21" s="32"/>
    </row>
    <row r="22" spans="1:26" ht="15.75" customHeight="1" x14ac:dyDescent="0.25">
      <c r="A22" s="101" t="s">
        <v>56</v>
      </c>
      <c r="B22" s="102"/>
      <c r="C22" s="102"/>
      <c r="D22" s="102"/>
      <c r="E22" s="102"/>
      <c r="F22" s="102"/>
      <c r="G22" s="102"/>
      <c r="H22" s="102"/>
      <c r="I22" s="102"/>
      <c r="J22" s="10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4" t="s">
        <v>49</v>
      </c>
      <c r="B23" s="95"/>
      <c r="C23" s="29">
        <f>FormSampel!H8</f>
        <v>0</v>
      </c>
      <c r="D23" s="30" t="s">
        <v>50</v>
      </c>
      <c r="E23" s="36">
        <v>1000</v>
      </c>
      <c r="F23" s="96" t="s">
        <v>51</v>
      </c>
      <c r="G23" s="95"/>
      <c r="H23" s="97" t="str">
        <f>IF(C24&lt;0.15,"&lt;0.15",C24)</f>
        <v>&lt;0.15</v>
      </c>
      <c r="I23" s="98"/>
      <c r="J23" s="32" t="s">
        <v>52</v>
      </c>
    </row>
    <row r="24" spans="1:26" ht="15.75" customHeight="1" x14ac:dyDescent="0.25">
      <c r="A24" s="33" t="s">
        <v>53</v>
      </c>
      <c r="B24" s="34"/>
      <c r="C24" s="99">
        <f>C23/1000</f>
        <v>0</v>
      </c>
      <c r="D24" s="100"/>
      <c r="E24" s="35"/>
      <c r="F24" s="34"/>
      <c r="G24" s="34"/>
      <c r="H24" s="34"/>
      <c r="I24" s="34"/>
      <c r="J24" s="32"/>
    </row>
    <row r="25" spans="1:26" ht="15.75" customHeight="1" x14ac:dyDescent="0.25">
      <c r="A25" s="101" t="s">
        <v>54</v>
      </c>
      <c r="B25" s="102"/>
      <c r="C25" s="102"/>
      <c r="D25" s="102"/>
      <c r="E25" s="102"/>
      <c r="F25" s="102"/>
      <c r="G25" s="102"/>
      <c r="H25" s="102"/>
      <c r="I25" s="102"/>
      <c r="J25" s="10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4" t="s">
        <v>49</v>
      </c>
      <c r="B26" s="105"/>
      <c r="C26" s="29">
        <f>FormSampel!I8</f>
        <v>0</v>
      </c>
      <c r="D26" s="30" t="s">
        <v>50</v>
      </c>
      <c r="E26" s="36">
        <v>1000</v>
      </c>
      <c r="F26" s="106" t="s">
        <v>51</v>
      </c>
      <c r="G26" s="95"/>
      <c r="H26" s="97" t="str">
        <f>IF(AND(C27&lt;0.15),"&lt;0.15",C27)</f>
        <v>&lt;0.15</v>
      </c>
      <c r="I26" s="98"/>
      <c r="J26" s="37" t="s">
        <v>52</v>
      </c>
    </row>
    <row r="27" spans="1:26" ht="15.75" customHeight="1" x14ac:dyDescent="0.25">
      <c r="A27" s="33" t="s">
        <v>53</v>
      </c>
      <c r="B27" s="34"/>
      <c r="C27" s="107">
        <f>C26/1000</f>
        <v>0</v>
      </c>
      <c r="D27" s="108"/>
      <c r="E27" s="35"/>
      <c r="F27" s="34"/>
      <c r="G27" s="34"/>
      <c r="H27" s="34"/>
      <c r="I27" s="34"/>
      <c r="J27" s="32"/>
    </row>
    <row r="28" spans="1:26" ht="15.75" customHeight="1" x14ac:dyDescent="0.25">
      <c r="A28" s="101" t="s">
        <v>55</v>
      </c>
      <c r="B28" s="102"/>
      <c r="C28" s="102"/>
      <c r="D28" s="102"/>
      <c r="E28" s="102"/>
      <c r="F28" s="102"/>
      <c r="G28" s="102"/>
      <c r="H28" s="102"/>
      <c r="I28" s="102"/>
      <c r="J28" s="10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4" t="s">
        <v>49</v>
      </c>
      <c r="B29" s="105"/>
      <c r="C29" s="29">
        <f>FormSampel!J8</f>
        <v>0</v>
      </c>
      <c r="D29" s="30" t="s">
        <v>50</v>
      </c>
      <c r="E29" s="36">
        <v>1000</v>
      </c>
      <c r="F29" s="109" t="s">
        <v>51</v>
      </c>
      <c r="G29" s="105"/>
      <c r="H29" s="97" t="str">
        <f>IF(AND(C30&lt;0.15),"&lt;0.15",C30)</f>
        <v>&lt;0.15</v>
      </c>
      <c r="I29" s="98"/>
      <c r="J29" s="32" t="s">
        <v>52</v>
      </c>
    </row>
    <row r="30" spans="1:26" ht="15.75" customHeight="1" x14ac:dyDescent="0.25">
      <c r="A30" s="33" t="s">
        <v>53</v>
      </c>
      <c r="B30" s="34"/>
      <c r="C30" s="99">
        <f>C29/1000</f>
        <v>0</v>
      </c>
      <c r="D30" s="100"/>
      <c r="E30" s="35"/>
      <c r="F30" s="34"/>
      <c r="G30" s="34"/>
      <c r="H30" s="34"/>
      <c r="I30" s="34"/>
      <c r="J30" s="32"/>
    </row>
    <row r="31" spans="1:26" ht="15.75" customHeight="1" x14ac:dyDescent="0.25">
      <c r="A31" s="142" t="s">
        <v>57</v>
      </c>
      <c r="B31" s="11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3" t="s">
        <v>59</v>
      </c>
      <c r="C32" s="105"/>
      <c r="D32" s="105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05"/>
      <c r="C33" s="105"/>
      <c r="D33" s="105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43" t="s">
        <v>60</v>
      </c>
      <c r="C34" s="105"/>
      <c r="D34" s="105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05"/>
      <c r="C35" s="105"/>
      <c r="D35" s="105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4" t="s">
        <v>61</v>
      </c>
      <c r="B38" s="111"/>
      <c r="C38" s="111"/>
      <c r="D38" s="111"/>
      <c r="E38" s="112"/>
      <c r="F38" s="131" t="str">
        <f>FormSampel!B19</f>
        <v>PERMIT   AMIR   MAISARAH</v>
      </c>
      <c r="G38" s="132"/>
      <c r="H38" s="135">
        <f>FormSampel!B20</f>
        <v>45575</v>
      </c>
      <c r="I38" s="135"/>
      <c r="J38" s="136"/>
    </row>
    <row r="39" spans="1:26" ht="11.25" customHeight="1" x14ac:dyDescent="0.25">
      <c r="A39" s="140"/>
      <c r="B39" s="141"/>
      <c r="C39" s="141"/>
      <c r="D39" s="141"/>
      <c r="E39" s="145"/>
      <c r="F39" s="133"/>
      <c r="G39" s="134"/>
      <c r="H39" s="137"/>
      <c r="I39" s="137"/>
      <c r="J39" s="138"/>
    </row>
    <row r="40" spans="1:26" ht="15.75" customHeight="1" x14ac:dyDescent="0.25">
      <c r="A40" s="139" t="s">
        <v>62</v>
      </c>
      <c r="B40" s="111"/>
      <c r="C40" s="111"/>
      <c r="D40" s="111"/>
      <c r="E40" s="111"/>
      <c r="F40" s="27"/>
      <c r="G40" s="23"/>
      <c r="H40" s="23"/>
      <c r="I40" s="23"/>
      <c r="J40" s="16"/>
    </row>
    <row r="41" spans="1:26" ht="11.25" customHeight="1" x14ac:dyDescent="0.25">
      <c r="A41" s="140"/>
      <c r="B41" s="141"/>
      <c r="C41" s="141"/>
      <c r="D41" s="141"/>
      <c r="E41" s="14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5" t="s">
        <v>0</v>
      </c>
      <c r="B1" s="116"/>
      <c r="C1" s="116"/>
      <c r="D1" s="116"/>
      <c r="E1" s="116"/>
      <c r="F1" s="116"/>
      <c r="G1" s="116"/>
      <c r="H1" s="116"/>
      <c r="I1" s="116"/>
      <c r="J1" s="117"/>
    </row>
    <row r="2" spans="1:26" x14ac:dyDescent="0.25">
      <c r="A2" s="115" t="s">
        <v>1</v>
      </c>
      <c r="B2" s="116"/>
      <c r="C2" s="116"/>
      <c r="D2" s="116"/>
      <c r="E2" s="116"/>
      <c r="F2" s="116"/>
      <c r="G2" s="116"/>
      <c r="H2" s="116"/>
      <c r="I2" s="116"/>
      <c r="J2" s="117"/>
    </row>
    <row r="3" spans="1:26" x14ac:dyDescent="0.25">
      <c r="A3" s="118" t="s">
        <v>2</v>
      </c>
      <c r="B3" s="116"/>
      <c r="C3" s="117"/>
      <c r="D3" s="119">
        <f>FormSampel!F9</f>
        <v>0</v>
      </c>
      <c r="E3" s="116"/>
      <c r="F3" s="116"/>
      <c r="G3" s="116"/>
      <c r="H3" s="116"/>
      <c r="I3" s="116"/>
      <c r="J3" s="117"/>
    </row>
    <row r="4" spans="1:26" x14ac:dyDescent="0.25">
      <c r="A4" s="118" t="s">
        <v>3</v>
      </c>
      <c r="B4" s="116"/>
      <c r="C4" s="117"/>
      <c r="D4" s="119" t="str">
        <f>FormSampel!B2</f>
        <v>101024 (1)</v>
      </c>
      <c r="E4" s="116"/>
      <c r="F4" s="116"/>
      <c r="G4" s="116"/>
      <c r="H4" s="116"/>
      <c r="I4" s="116"/>
      <c r="J4" s="117"/>
    </row>
    <row r="5" spans="1:26" ht="15" customHeight="1" x14ac:dyDescent="0.25">
      <c r="A5" s="120" t="s">
        <v>4</v>
      </c>
      <c r="B5" s="116"/>
      <c r="C5" s="116"/>
      <c r="D5" s="116"/>
      <c r="E5" s="116"/>
      <c r="F5" s="116"/>
      <c r="G5" s="116"/>
      <c r="H5" s="116"/>
      <c r="I5" s="116"/>
      <c r="J5" s="11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0" t="s">
        <v>5</v>
      </c>
      <c r="B6" s="116"/>
      <c r="C6" s="116"/>
      <c r="D6" s="116"/>
      <c r="E6" s="116"/>
      <c r="F6" s="116"/>
      <c r="G6" s="116"/>
      <c r="H6" s="116"/>
      <c r="I6" s="116"/>
      <c r="J6" s="117"/>
    </row>
    <row r="7" spans="1:26" ht="30" customHeight="1" x14ac:dyDescent="0.25">
      <c r="A7" s="121" t="s">
        <v>6</v>
      </c>
      <c r="B7" s="111"/>
      <c r="C7" s="122" t="s">
        <v>7</v>
      </c>
      <c r="D7" s="111"/>
      <c r="E7" s="111"/>
      <c r="F7" s="42" t="s">
        <v>8</v>
      </c>
      <c r="G7" s="110" t="s">
        <v>9</v>
      </c>
      <c r="H7" s="111"/>
      <c r="I7" s="111"/>
      <c r="J7" s="112"/>
    </row>
    <row r="8" spans="1:26" ht="15" customHeight="1" x14ac:dyDescent="0.25">
      <c r="A8" s="123" t="s">
        <v>10</v>
      </c>
      <c r="B8" s="105"/>
      <c r="C8" s="124" t="s">
        <v>11</v>
      </c>
      <c r="D8" s="105"/>
      <c r="E8" s="4"/>
      <c r="F8" s="38" t="s">
        <v>12</v>
      </c>
      <c r="G8" s="6" t="s">
        <v>13</v>
      </c>
      <c r="H8" s="6" t="s">
        <v>14</v>
      </c>
      <c r="I8" s="113"/>
      <c r="J8" s="114"/>
    </row>
    <row r="9" spans="1:26" ht="30" customHeight="1" x14ac:dyDescent="0.25">
      <c r="A9" s="125" t="s">
        <v>15</v>
      </c>
      <c r="B9" s="105"/>
      <c r="C9" s="124" t="s">
        <v>16</v>
      </c>
      <c r="D9" s="105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3" t="s">
        <v>20</v>
      </c>
      <c r="B10" s="105"/>
      <c r="C10" s="124" t="s">
        <v>21</v>
      </c>
      <c r="D10" s="105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05"/>
      <c r="C11" s="128" t="s">
        <v>26</v>
      </c>
      <c r="D11" s="105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3" t="s">
        <v>30</v>
      </c>
      <c r="B12" s="105"/>
      <c r="C12" s="124" t="s">
        <v>31</v>
      </c>
      <c r="D12" s="105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3" t="s">
        <v>35</v>
      </c>
      <c r="B13" s="105"/>
      <c r="C13" s="124" t="s">
        <v>36</v>
      </c>
      <c r="D13" s="105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3" t="s">
        <v>40</v>
      </c>
      <c r="B14" s="105"/>
      <c r="C14" s="124" t="s">
        <v>41</v>
      </c>
      <c r="D14" s="105"/>
      <c r="E14" s="7"/>
      <c r="F14" s="126" t="s">
        <v>42</v>
      </c>
      <c r="G14" s="105"/>
      <c r="H14" s="105"/>
      <c r="I14" s="127" t="s">
        <v>43</v>
      </c>
      <c r="J14" s="114"/>
    </row>
    <row r="15" spans="1:26" ht="15" customHeight="1" x14ac:dyDescent="0.25">
      <c r="A15" s="123" t="s">
        <v>44</v>
      </c>
      <c r="B15" s="105"/>
      <c r="C15" s="124" t="s">
        <v>45</v>
      </c>
      <c r="D15" s="105"/>
      <c r="E15" s="7"/>
      <c r="F15" s="43" t="s">
        <v>74</v>
      </c>
      <c r="G15" s="130" t="str">
        <f>FormSampel!B14</f>
        <v>HC 16350373 - 2</v>
      </c>
      <c r="H15" s="130"/>
      <c r="I15" s="85">
        <f>FormSampel!C14</f>
        <v>45808</v>
      </c>
      <c r="J15" s="86"/>
    </row>
    <row r="16" spans="1:26" ht="15" customHeight="1" x14ac:dyDescent="0.25">
      <c r="A16" s="123" t="s">
        <v>46</v>
      </c>
      <c r="B16" s="105"/>
      <c r="C16" s="129" t="s">
        <v>47</v>
      </c>
      <c r="D16" s="105"/>
      <c r="E16" s="105"/>
      <c r="F16" s="44" t="s">
        <v>75</v>
      </c>
      <c r="G16" s="93" t="str">
        <f>FormSampel!B15</f>
        <v>HC 15161426 - 2</v>
      </c>
      <c r="H16" s="93"/>
      <c r="I16" s="85">
        <f>FormSampel!C15</f>
        <v>45716</v>
      </c>
      <c r="J16" s="8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3" t="str">
        <f>FormSampel!B16</f>
        <v>HC 14813176 - 2</v>
      </c>
      <c r="H17" s="93"/>
      <c r="I17" s="85">
        <f>FormSampel!C16</f>
        <v>45688</v>
      </c>
      <c r="J17" s="8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2" t="str">
        <f>FormSampel!B17</f>
        <v>HC 28942277 - 2</v>
      </c>
      <c r="H18" s="92"/>
      <c r="I18" s="87">
        <f>FormSampel!C17</f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94" t="s">
        <v>49</v>
      </c>
      <c r="B20" s="95"/>
      <c r="C20" s="29">
        <f>FormSampel!G9</f>
        <v>0</v>
      </c>
      <c r="D20" s="30" t="s">
        <v>50</v>
      </c>
      <c r="E20" s="31">
        <v>1000</v>
      </c>
      <c r="F20" s="96" t="s">
        <v>51</v>
      </c>
      <c r="G20" s="95"/>
      <c r="H20" s="97" t="str">
        <f>IF(AND(C21&lt;0.15),"&lt;0.15",C21)</f>
        <v>&lt;0.15</v>
      </c>
      <c r="I20" s="98"/>
      <c r="J20" s="32" t="s">
        <v>52</v>
      </c>
    </row>
    <row r="21" spans="1:26" ht="15.75" customHeight="1" x14ac:dyDescent="0.25">
      <c r="A21" s="33" t="s">
        <v>53</v>
      </c>
      <c r="B21" s="34"/>
      <c r="C21" s="99">
        <f>C20/1000</f>
        <v>0</v>
      </c>
      <c r="D21" s="100"/>
      <c r="E21" s="35"/>
      <c r="F21" s="34"/>
      <c r="G21" s="34"/>
      <c r="H21" s="34"/>
      <c r="I21" s="34"/>
      <c r="J21" s="32"/>
    </row>
    <row r="22" spans="1:26" ht="15.75" customHeight="1" x14ac:dyDescent="0.25">
      <c r="A22" s="101" t="s">
        <v>56</v>
      </c>
      <c r="B22" s="102"/>
      <c r="C22" s="102"/>
      <c r="D22" s="102"/>
      <c r="E22" s="102"/>
      <c r="F22" s="102"/>
      <c r="G22" s="102"/>
      <c r="H22" s="102"/>
      <c r="I22" s="102"/>
      <c r="J22" s="10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4" t="s">
        <v>49</v>
      </c>
      <c r="B23" s="95"/>
      <c r="C23" s="29">
        <f>FormSampel!H9</f>
        <v>0</v>
      </c>
      <c r="D23" s="30" t="s">
        <v>50</v>
      </c>
      <c r="E23" s="36">
        <v>1000</v>
      </c>
      <c r="F23" s="96" t="s">
        <v>51</v>
      </c>
      <c r="G23" s="95"/>
      <c r="H23" s="97" t="str">
        <f>IF(C24&lt;0.15,"&lt;0.15",C24)</f>
        <v>&lt;0.15</v>
      </c>
      <c r="I23" s="98"/>
      <c r="J23" s="32" t="s">
        <v>52</v>
      </c>
    </row>
    <row r="24" spans="1:26" ht="15.75" customHeight="1" x14ac:dyDescent="0.25">
      <c r="A24" s="33" t="s">
        <v>53</v>
      </c>
      <c r="B24" s="34"/>
      <c r="C24" s="99">
        <f>C23/1000</f>
        <v>0</v>
      </c>
      <c r="D24" s="100"/>
      <c r="E24" s="35"/>
      <c r="F24" s="34"/>
      <c r="G24" s="34"/>
      <c r="H24" s="34"/>
      <c r="I24" s="34"/>
      <c r="J24" s="32"/>
    </row>
    <row r="25" spans="1:26" ht="15.75" customHeight="1" x14ac:dyDescent="0.25">
      <c r="A25" s="101" t="s">
        <v>54</v>
      </c>
      <c r="B25" s="102"/>
      <c r="C25" s="102"/>
      <c r="D25" s="102"/>
      <c r="E25" s="102"/>
      <c r="F25" s="102"/>
      <c r="G25" s="102"/>
      <c r="H25" s="102"/>
      <c r="I25" s="102"/>
      <c r="J25" s="10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4" t="s">
        <v>49</v>
      </c>
      <c r="B26" s="105"/>
      <c r="C26" s="29">
        <f>FormSampel!I9</f>
        <v>0</v>
      </c>
      <c r="D26" s="30" t="s">
        <v>50</v>
      </c>
      <c r="E26" s="36">
        <v>1000</v>
      </c>
      <c r="F26" s="106" t="s">
        <v>51</v>
      </c>
      <c r="G26" s="95"/>
      <c r="H26" s="97" t="str">
        <f>IF(AND(C27&lt;0.15),"&lt;0.15",C27)</f>
        <v>&lt;0.15</v>
      </c>
      <c r="I26" s="98"/>
      <c r="J26" s="37" t="s">
        <v>52</v>
      </c>
    </row>
    <row r="27" spans="1:26" ht="15.75" customHeight="1" x14ac:dyDescent="0.25">
      <c r="A27" s="33" t="s">
        <v>53</v>
      </c>
      <c r="B27" s="34"/>
      <c r="C27" s="107">
        <f>C26/1000</f>
        <v>0</v>
      </c>
      <c r="D27" s="108"/>
      <c r="E27" s="35"/>
      <c r="F27" s="34"/>
      <c r="G27" s="34"/>
      <c r="H27" s="34"/>
      <c r="I27" s="34"/>
      <c r="J27" s="32"/>
    </row>
    <row r="28" spans="1:26" ht="15.75" customHeight="1" x14ac:dyDescent="0.25">
      <c r="A28" s="101" t="s">
        <v>55</v>
      </c>
      <c r="B28" s="102"/>
      <c r="C28" s="102"/>
      <c r="D28" s="102"/>
      <c r="E28" s="102"/>
      <c r="F28" s="102"/>
      <c r="G28" s="102"/>
      <c r="H28" s="102"/>
      <c r="I28" s="102"/>
      <c r="J28" s="10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4" t="s">
        <v>49</v>
      </c>
      <c r="B29" s="105"/>
      <c r="C29" s="29">
        <f>FormSampel!J9</f>
        <v>0</v>
      </c>
      <c r="D29" s="30" t="s">
        <v>50</v>
      </c>
      <c r="E29" s="36">
        <v>1000</v>
      </c>
      <c r="F29" s="109" t="s">
        <v>51</v>
      </c>
      <c r="G29" s="105"/>
      <c r="H29" s="97" t="str">
        <f>IF(AND(C30&lt;0.15),"&lt;0.15",C30)</f>
        <v>&lt;0.15</v>
      </c>
      <c r="I29" s="98"/>
      <c r="J29" s="32" t="s">
        <v>52</v>
      </c>
    </row>
    <row r="30" spans="1:26" ht="15.75" customHeight="1" x14ac:dyDescent="0.25">
      <c r="A30" s="33" t="s">
        <v>53</v>
      </c>
      <c r="B30" s="34"/>
      <c r="C30" s="99">
        <f>C29/1000</f>
        <v>0</v>
      </c>
      <c r="D30" s="100"/>
      <c r="E30" s="35"/>
      <c r="F30" s="34"/>
      <c r="G30" s="34"/>
      <c r="H30" s="34"/>
      <c r="I30" s="34"/>
      <c r="J30" s="32"/>
    </row>
    <row r="31" spans="1:26" ht="15.75" customHeight="1" x14ac:dyDescent="0.25">
      <c r="A31" s="142" t="s">
        <v>57</v>
      </c>
      <c r="B31" s="11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3" t="s">
        <v>59</v>
      </c>
      <c r="C32" s="105"/>
      <c r="D32" s="105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05"/>
      <c r="C33" s="105"/>
      <c r="D33" s="105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43" t="s">
        <v>60</v>
      </c>
      <c r="C34" s="105"/>
      <c r="D34" s="105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05"/>
      <c r="C35" s="105"/>
      <c r="D35" s="105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4" t="s">
        <v>61</v>
      </c>
      <c r="B38" s="111"/>
      <c r="C38" s="111"/>
      <c r="D38" s="111"/>
      <c r="E38" s="112"/>
      <c r="F38" s="131" t="str">
        <f>FormSampel!B19</f>
        <v>PERMIT   AMIR   MAISARAH</v>
      </c>
      <c r="G38" s="132"/>
      <c r="H38" s="135">
        <f>FormSampel!B20</f>
        <v>45575</v>
      </c>
      <c r="I38" s="135"/>
      <c r="J38" s="136"/>
    </row>
    <row r="39" spans="1:26" ht="11.25" customHeight="1" x14ac:dyDescent="0.25">
      <c r="A39" s="140"/>
      <c r="B39" s="141"/>
      <c r="C39" s="141"/>
      <c r="D39" s="141"/>
      <c r="E39" s="145"/>
      <c r="F39" s="133"/>
      <c r="G39" s="134"/>
      <c r="H39" s="137"/>
      <c r="I39" s="137"/>
      <c r="J39" s="138"/>
    </row>
    <row r="40" spans="1:26" ht="15.75" customHeight="1" x14ac:dyDescent="0.25">
      <c r="A40" s="139" t="s">
        <v>62</v>
      </c>
      <c r="B40" s="111"/>
      <c r="C40" s="111"/>
      <c r="D40" s="111"/>
      <c r="E40" s="111"/>
      <c r="F40" s="27"/>
      <c r="G40" s="23"/>
      <c r="H40" s="23"/>
      <c r="I40" s="23"/>
      <c r="J40" s="16"/>
    </row>
    <row r="41" spans="1:26" ht="11.25" customHeight="1" x14ac:dyDescent="0.25">
      <c r="A41" s="140"/>
      <c r="B41" s="141"/>
      <c r="C41" s="141"/>
      <c r="D41" s="141"/>
      <c r="E41" s="14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5" t="s">
        <v>0</v>
      </c>
      <c r="B1" s="116"/>
      <c r="C1" s="116"/>
      <c r="D1" s="116"/>
      <c r="E1" s="116"/>
      <c r="F1" s="116"/>
      <c r="G1" s="116"/>
      <c r="H1" s="116"/>
      <c r="I1" s="116"/>
      <c r="J1" s="117"/>
    </row>
    <row r="2" spans="1:26" x14ac:dyDescent="0.25">
      <c r="A2" s="115" t="s">
        <v>1</v>
      </c>
      <c r="B2" s="116"/>
      <c r="C2" s="116"/>
      <c r="D2" s="116"/>
      <c r="E2" s="116"/>
      <c r="F2" s="116"/>
      <c r="G2" s="116"/>
      <c r="H2" s="116"/>
      <c r="I2" s="116"/>
      <c r="J2" s="117"/>
    </row>
    <row r="3" spans="1:26" x14ac:dyDescent="0.25">
      <c r="A3" s="118" t="s">
        <v>2</v>
      </c>
      <c r="B3" s="116"/>
      <c r="C3" s="117"/>
      <c r="D3" s="119">
        <f>FormSampel!F10</f>
        <v>0</v>
      </c>
      <c r="E3" s="116"/>
      <c r="F3" s="116"/>
      <c r="G3" s="116"/>
      <c r="H3" s="116"/>
      <c r="I3" s="116"/>
      <c r="J3" s="117"/>
    </row>
    <row r="4" spans="1:26" x14ac:dyDescent="0.25">
      <c r="A4" s="118" t="s">
        <v>3</v>
      </c>
      <c r="B4" s="116"/>
      <c r="C4" s="117"/>
      <c r="D4" s="119" t="str">
        <f>FormSampel!B2</f>
        <v>101024 (1)</v>
      </c>
      <c r="E4" s="116"/>
      <c r="F4" s="116"/>
      <c r="G4" s="116"/>
      <c r="H4" s="116"/>
      <c r="I4" s="116"/>
      <c r="J4" s="117"/>
    </row>
    <row r="5" spans="1:26" ht="15" customHeight="1" x14ac:dyDescent="0.25">
      <c r="A5" s="120" t="s">
        <v>4</v>
      </c>
      <c r="B5" s="116"/>
      <c r="C5" s="116"/>
      <c r="D5" s="116"/>
      <c r="E5" s="116"/>
      <c r="F5" s="116"/>
      <c r="G5" s="116"/>
      <c r="H5" s="116"/>
      <c r="I5" s="116"/>
      <c r="J5" s="11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0" t="s">
        <v>5</v>
      </c>
      <c r="B6" s="116"/>
      <c r="C6" s="116"/>
      <c r="D6" s="116"/>
      <c r="E6" s="116"/>
      <c r="F6" s="116"/>
      <c r="G6" s="116"/>
      <c r="H6" s="116"/>
      <c r="I6" s="116"/>
      <c r="J6" s="117"/>
    </row>
    <row r="7" spans="1:26" ht="30" customHeight="1" x14ac:dyDescent="0.25">
      <c r="A7" s="121" t="s">
        <v>6</v>
      </c>
      <c r="B7" s="111"/>
      <c r="C7" s="122" t="s">
        <v>7</v>
      </c>
      <c r="D7" s="111"/>
      <c r="E7" s="111"/>
      <c r="F7" s="42" t="s">
        <v>8</v>
      </c>
      <c r="G7" s="110" t="s">
        <v>9</v>
      </c>
      <c r="H7" s="111"/>
      <c r="I7" s="111"/>
      <c r="J7" s="112"/>
    </row>
    <row r="8" spans="1:26" ht="15" customHeight="1" x14ac:dyDescent="0.25">
      <c r="A8" s="123" t="s">
        <v>10</v>
      </c>
      <c r="B8" s="105"/>
      <c r="C8" s="124" t="s">
        <v>11</v>
      </c>
      <c r="D8" s="105"/>
      <c r="E8" s="4"/>
      <c r="F8" s="38" t="s">
        <v>12</v>
      </c>
      <c r="G8" s="6" t="s">
        <v>13</v>
      </c>
      <c r="H8" s="6" t="s">
        <v>14</v>
      </c>
      <c r="I8" s="113"/>
      <c r="J8" s="114"/>
    </row>
    <row r="9" spans="1:26" ht="30" customHeight="1" x14ac:dyDescent="0.25">
      <c r="A9" s="125" t="s">
        <v>15</v>
      </c>
      <c r="B9" s="105"/>
      <c r="C9" s="124" t="s">
        <v>16</v>
      </c>
      <c r="D9" s="105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3" t="s">
        <v>20</v>
      </c>
      <c r="B10" s="105"/>
      <c r="C10" s="124" t="s">
        <v>21</v>
      </c>
      <c r="D10" s="105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05"/>
      <c r="C11" s="128" t="s">
        <v>26</v>
      </c>
      <c r="D11" s="105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3" t="s">
        <v>30</v>
      </c>
      <c r="B12" s="105"/>
      <c r="C12" s="124" t="s">
        <v>31</v>
      </c>
      <c r="D12" s="105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3" t="s">
        <v>35</v>
      </c>
      <c r="B13" s="105"/>
      <c r="C13" s="124" t="s">
        <v>36</v>
      </c>
      <c r="D13" s="105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3" t="s">
        <v>40</v>
      </c>
      <c r="B14" s="105"/>
      <c r="C14" s="124" t="s">
        <v>41</v>
      </c>
      <c r="D14" s="105"/>
      <c r="E14" s="7"/>
      <c r="F14" s="126" t="s">
        <v>42</v>
      </c>
      <c r="G14" s="105"/>
      <c r="H14" s="105"/>
      <c r="I14" s="127" t="s">
        <v>43</v>
      </c>
      <c r="J14" s="114"/>
    </row>
    <row r="15" spans="1:26" ht="15" customHeight="1" x14ac:dyDescent="0.25">
      <c r="A15" s="123" t="s">
        <v>44</v>
      </c>
      <c r="B15" s="105"/>
      <c r="C15" s="124" t="s">
        <v>45</v>
      </c>
      <c r="D15" s="105"/>
      <c r="E15" s="7"/>
      <c r="F15" s="43" t="s">
        <v>74</v>
      </c>
      <c r="G15" s="130" t="str">
        <f>FormSampel!B14</f>
        <v>HC 16350373 - 2</v>
      </c>
      <c r="H15" s="130"/>
      <c r="I15" s="85">
        <f>FormSampel!C14</f>
        <v>45808</v>
      </c>
      <c r="J15" s="86"/>
    </row>
    <row r="16" spans="1:26" ht="15" customHeight="1" x14ac:dyDescent="0.25">
      <c r="A16" s="123" t="s">
        <v>46</v>
      </c>
      <c r="B16" s="105"/>
      <c r="C16" s="129" t="s">
        <v>47</v>
      </c>
      <c r="D16" s="105"/>
      <c r="E16" s="105"/>
      <c r="F16" s="44" t="s">
        <v>75</v>
      </c>
      <c r="G16" s="93" t="str">
        <f>FormSampel!B15</f>
        <v>HC 15161426 - 2</v>
      </c>
      <c r="H16" s="93"/>
      <c r="I16" s="85">
        <f>FormSampel!C15</f>
        <v>45716</v>
      </c>
      <c r="J16" s="8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3" t="str">
        <f>FormSampel!B16</f>
        <v>HC 14813176 - 2</v>
      </c>
      <c r="H17" s="93"/>
      <c r="I17" s="85">
        <f>FormSampel!C16</f>
        <v>45688</v>
      </c>
      <c r="J17" s="8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2" t="str">
        <f>FormSampel!B17</f>
        <v>HC 28942277 - 2</v>
      </c>
      <c r="H18" s="92"/>
      <c r="I18" s="87">
        <f>FormSampel!C17</f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94" t="s">
        <v>49</v>
      </c>
      <c r="B20" s="95"/>
      <c r="C20" s="29">
        <f>FormSampel!G10</f>
        <v>0</v>
      </c>
      <c r="D20" s="30" t="s">
        <v>50</v>
      </c>
      <c r="E20" s="31">
        <v>1000</v>
      </c>
      <c r="F20" s="96" t="s">
        <v>51</v>
      </c>
      <c r="G20" s="95"/>
      <c r="H20" s="97" t="str">
        <f>IF(AND(C21&lt;0.15),"&lt;0.15",C21)</f>
        <v>&lt;0.15</v>
      </c>
      <c r="I20" s="98"/>
      <c r="J20" s="32" t="s">
        <v>52</v>
      </c>
    </row>
    <row r="21" spans="1:26" ht="15.75" customHeight="1" x14ac:dyDescent="0.25">
      <c r="A21" s="33" t="s">
        <v>53</v>
      </c>
      <c r="B21" s="34"/>
      <c r="C21" s="99">
        <f>C20/1000</f>
        <v>0</v>
      </c>
      <c r="D21" s="100"/>
      <c r="E21" s="35"/>
      <c r="F21" s="34"/>
      <c r="G21" s="34"/>
      <c r="H21" s="34"/>
      <c r="I21" s="34"/>
      <c r="J21" s="32"/>
    </row>
    <row r="22" spans="1:26" ht="15.75" customHeight="1" x14ac:dyDescent="0.25">
      <c r="A22" s="101" t="s">
        <v>56</v>
      </c>
      <c r="B22" s="102"/>
      <c r="C22" s="102"/>
      <c r="D22" s="102"/>
      <c r="E22" s="102"/>
      <c r="F22" s="102"/>
      <c r="G22" s="102"/>
      <c r="H22" s="102"/>
      <c r="I22" s="102"/>
      <c r="J22" s="10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4" t="s">
        <v>49</v>
      </c>
      <c r="B23" s="95"/>
      <c r="C23" s="29">
        <f>FormSampel!H10</f>
        <v>0</v>
      </c>
      <c r="D23" s="30" t="s">
        <v>50</v>
      </c>
      <c r="E23" s="36">
        <v>1000</v>
      </c>
      <c r="F23" s="96" t="s">
        <v>51</v>
      </c>
      <c r="G23" s="95"/>
      <c r="H23" s="97" t="str">
        <f>IF(C24&lt;0.15,"&lt;0.15",C24)</f>
        <v>&lt;0.15</v>
      </c>
      <c r="I23" s="98"/>
      <c r="J23" s="32" t="s">
        <v>52</v>
      </c>
    </row>
    <row r="24" spans="1:26" ht="15.75" customHeight="1" x14ac:dyDescent="0.25">
      <c r="A24" s="33" t="s">
        <v>53</v>
      </c>
      <c r="B24" s="34"/>
      <c r="C24" s="99">
        <f>C23/1000</f>
        <v>0</v>
      </c>
      <c r="D24" s="100"/>
      <c r="E24" s="35"/>
      <c r="F24" s="34"/>
      <c r="G24" s="34"/>
      <c r="H24" s="34"/>
      <c r="I24" s="34"/>
      <c r="J24" s="32"/>
    </row>
    <row r="25" spans="1:26" ht="15.75" customHeight="1" x14ac:dyDescent="0.25">
      <c r="A25" s="101" t="s">
        <v>54</v>
      </c>
      <c r="B25" s="102"/>
      <c r="C25" s="102"/>
      <c r="D25" s="102"/>
      <c r="E25" s="102"/>
      <c r="F25" s="102"/>
      <c r="G25" s="102"/>
      <c r="H25" s="102"/>
      <c r="I25" s="102"/>
      <c r="J25" s="10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4" t="s">
        <v>49</v>
      </c>
      <c r="B26" s="105"/>
      <c r="C26" s="29">
        <f>FormSampel!I10</f>
        <v>0</v>
      </c>
      <c r="D26" s="30" t="s">
        <v>50</v>
      </c>
      <c r="E26" s="36">
        <v>1000</v>
      </c>
      <c r="F26" s="106" t="s">
        <v>51</v>
      </c>
      <c r="G26" s="95"/>
      <c r="H26" s="97" t="str">
        <f>IF(AND(C27&lt;0.15),"&lt;0.15",C27)</f>
        <v>&lt;0.15</v>
      </c>
      <c r="I26" s="98"/>
      <c r="J26" s="37" t="s">
        <v>52</v>
      </c>
    </row>
    <row r="27" spans="1:26" ht="15.75" customHeight="1" x14ac:dyDescent="0.25">
      <c r="A27" s="33" t="s">
        <v>53</v>
      </c>
      <c r="B27" s="34"/>
      <c r="C27" s="107">
        <f>C26/1000</f>
        <v>0</v>
      </c>
      <c r="D27" s="108"/>
      <c r="E27" s="35"/>
      <c r="F27" s="34"/>
      <c r="G27" s="34"/>
      <c r="H27" s="34"/>
      <c r="I27" s="34"/>
      <c r="J27" s="32"/>
    </row>
    <row r="28" spans="1:26" ht="15.75" customHeight="1" x14ac:dyDescent="0.25">
      <c r="A28" s="101" t="s">
        <v>55</v>
      </c>
      <c r="B28" s="102"/>
      <c r="C28" s="102"/>
      <c r="D28" s="102"/>
      <c r="E28" s="102"/>
      <c r="F28" s="102"/>
      <c r="G28" s="102"/>
      <c r="H28" s="102"/>
      <c r="I28" s="102"/>
      <c r="J28" s="10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4" t="s">
        <v>49</v>
      </c>
      <c r="B29" s="105"/>
      <c r="C29" s="29">
        <f>FormSampel!J10</f>
        <v>0</v>
      </c>
      <c r="D29" s="30" t="s">
        <v>50</v>
      </c>
      <c r="E29" s="36">
        <v>1000</v>
      </c>
      <c r="F29" s="109" t="s">
        <v>51</v>
      </c>
      <c r="G29" s="105"/>
      <c r="H29" s="97" t="str">
        <f>IF(AND(C30&lt;0.15),"&lt;0.15",C30)</f>
        <v>&lt;0.15</v>
      </c>
      <c r="I29" s="98"/>
      <c r="J29" s="32" t="s">
        <v>52</v>
      </c>
    </row>
    <row r="30" spans="1:26" ht="15.75" customHeight="1" x14ac:dyDescent="0.25">
      <c r="A30" s="33" t="s">
        <v>53</v>
      </c>
      <c r="B30" s="34"/>
      <c r="C30" s="99">
        <f>C29/1000</f>
        <v>0</v>
      </c>
      <c r="D30" s="100"/>
      <c r="E30" s="35"/>
      <c r="F30" s="34"/>
      <c r="G30" s="34"/>
      <c r="H30" s="34"/>
      <c r="I30" s="34"/>
      <c r="J30" s="32"/>
    </row>
    <row r="31" spans="1:26" ht="15.75" customHeight="1" x14ac:dyDescent="0.25">
      <c r="A31" s="142" t="s">
        <v>57</v>
      </c>
      <c r="B31" s="11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3" t="s">
        <v>59</v>
      </c>
      <c r="C32" s="105"/>
      <c r="D32" s="105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05"/>
      <c r="C33" s="105"/>
      <c r="D33" s="105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43" t="s">
        <v>60</v>
      </c>
      <c r="C34" s="105"/>
      <c r="D34" s="105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05"/>
      <c r="C35" s="105"/>
      <c r="D35" s="105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4" t="s">
        <v>61</v>
      </c>
      <c r="B38" s="111"/>
      <c r="C38" s="111"/>
      <c r="D38" s="111"/>
      <c r="E38" s="112"/>
      <c r="F38" s="131" t="str">
        <f>FormSampel!B19</f>
        <v>PERMIT   AMIR   MAISARAH</v>
      </c>
      <c r="G38" s="132"/>
      <c r="H38" s="135">
        <f>FormSampel!B20</f>
        <v>45575</v>
      </c>
      <c r="I38" s="135"/>
      <c r="J38" s="136"/>
    </row>
    <row r="39" spans="1:26" ht="11.25" customHeight="1" x14ac:dyDescent="0.25">
      <c r="A39" s="140"/>
      <c r="B39" s="141"/>
      <c r="C39" s="141"/>
      <c r="D39" s="141"/>
      <c r="E39" s="145"/>
      <c r="F39" s="133"/>
      <c r="G39" s="134"/>
      <c r="H39" s="137"/>
      <c r="I39" s="137"/>
      <c r="J39" s="138"/>
    </row>
    <row r="40" spans="1:26" ht="15.75" customHeight="1" x14ac:dyDescent="0.25">
      <c r="A40" s="139" t="s">
        <v>62</v>
      </c>
      <c r="B40" s="111"/>
      <c r="C40" s="111"/>
      <c r="D40" s="111"/>
      <c r="E40" s="111"/>
      <c r="F40" s="27"/>
      <c r="G40" s="23"/>
      <c r="H40" s="23"/>
      <c r="I40" s="23"/>
      <c r="J40" s="16"/>
    </row>
    <row r="41" spans="1:26" ht="11.25" customHeight="1" x14ac:dyDescent="0.25">
      <c r="A41" s="140"/>
      <c r="B41" s="141"/>
      <c r="C41" s="141"/>
      <c r="D41" s="141"/>
      <c r="E41" s="14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12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5" t="s">
        <v>0</v>
      </c>
      <c r="B1" s="116"/>
      <c r="C1" s="116"/>
      <c r="D1" s="116"/>
      <c r="E1" s="116"/>
      <c r="F1" s="116"/>
      <c r="G1" s="116"/>
      <c r="H1" s="116"/>
      <c r="I1" s="116"/>
      <c r="J1" s="117"/>
    </row>
    <row r="2" spans="1:26" x14ac:dyDescent="0.25">
      <c r="A2" s="115" t="s">
        <v>1</v>
      </c>
      <c r="B2" s="116"/>
      <c r="C2" s="116"/>
      <c r="D2" s="116"/>
      <c r="E2" s="116"/>
      <c r="F2" s="116"/>
      <c r="G2" s="116"/>
      <c r="H2" s="116"/>
      <c r="I2" s="116"/>
      <c r="J2" s="117"/>
    </row>
    <row r="3" spans="1:26" x14ac:dyDescent="0.25">
      <c r="A3" s="118" t="s">
        <v>2</v>
      </c>
      <c r="B3" s="116"/>
      <c r="C3" s="117"/>
      <c r="D3" s="119">
        <f>FormSampel!F11</f>
        <v>0</v>
      </c>
      <c r="E3" s="116"/>
      <c r="F3" s="116"/>
      <c r="G3" s="116"/>
      <c r="H3" s="116"/>
      <c r="I3" s="116"/>
      <c r="J3" s="117"/>
    </row>
    <row r="4" spans="1:26" x14ac:dyDescent="0.25">
      <c r="A4" s="118" t="s">
        <v>3</v>
      </c>
      <c r="B4" s="116"/>
      <c r="C4" s="117"/>
      <c r="D4" s="119" t="str">
        <f>FormSampel!B2</f>
        <v>101024 (1)</v>
      </c>
      <c r="E4" s="116"/>
      <c r="F4" s="116"/>
      <c r="G4" s="116"/>
      <c r="H4" s="116"/>
      <c r="I4" s="116"/>
      <c r="J4" s="117"/>
    </row>
    <row r="5" spans="1:26" ht="15" customHeight="1" x14ac:dyDescent="0.25">
      <c r="A5" s="120" t="s">
        <v>4</v>
      </c>
      <c r="B5" s="116"/>
      <c r="C5" s="116"/>
      <c r="D5" s="116"/>
      <c r="E5" s="116"/>
      <c r="F5" s="116"/>
      <c r="G5" s="116"/>
      <c r="H5" s="116"/>
      <c r="I5" s="116"/>
      <c r="J5" s="11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0" t="s">
        <v>5</v>
      </c>
      <c r="B6" s="116"/>
      <c r="C6" s="116"/>
      <c r="D6" s="116"/>
      <c r="E6" s="116"/>
      <c r="F6" s="116"/>
      <c r="G6" s="116"/>
      <c r="H6" s="116"/>
      <c r="I6" s="116"/>
      <c r="J6" s="117"/>
    </row>
    <row r="7" spans="1:26" ht="30" customHeight="1" x14ac:dyDescent="0.25">
      <c r="A7" s="121" t="s">
        <v>6</v>
      </c>
      <c r="B7" s="111"/>
      <c r="C7" s="122" t="s">
        <v>7</v>
      </c>
      <c r="D7" s="111"/>
      <c r="E7" s="111"/>
      <c r="F7" s="42" t="s">
        <v>8</v>
      </c>
      <c r="G7" s="110" t="s">
        <v>9</v>
      </c>
      <c r="H7" s="111"/>
      <c r="I7" s="111"/>
      <c r="J7" s="112"/>
    </row>
    <row r="8" spans="1:26" ht="15" customHeight="1" x14ac:dyDescent="0.25">
      <c r="A8" s="123" t="s">
        <v>10</v>
      </c>
      <c r="B8" s="105"/>
      <c r="C8" s="124" t="s">
        <v>11</v>
      </c>
      <c r="D8" s="105"/>
      <c r="E8" s="4"/>
      <c r="F8" s="38" t="s">
        <v>12</v>
      </c>
      <c r="G8" s="6" t="s">
        <v>13</v>
      </c>
      <c r="H8" s="6" t="s">
        <v>14</v>
      </c>
      <c r="I8" s="113"/>
      <c r="J8" s="114"/>
    </row>
    <row r="9" spans="1:26" ht="30" customHeight="1" x14ac:dyDescent="0.25">
      <c r="A9" s="125" t="s">
        <v>15</v>
      </c>
      <c r="B9" s="105"/>
      <c r="C9" s="124" t="s">
        <v>16</v>
      </c>
      <c r="D9" s="105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3" t="s">
        <v>20</v>
      </c>
      <c r="B10" s="105"/>
      <c r="C10" s="124" t="s">
        <v>21</v>
      </c>
      <c r="D10" s="105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05"/>
      <c r="C11" s="128" t="s">
        <v>26</v>
      </c>
      <c r="D11" s="105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3" t="s">
        <v>30</v>
      </c>
      <c r="B12" s="105"/>
      <c r="C12" s="124" t="s">
        <v>31</v>
      </c>
      <c r="D12" s="105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3" t="s">
        <v>35</v>
      </c>
      <c r="B13" s="105"/>
      <c r="C13" s="124" t="s">
        <v>36</v>
      </c>
      <c r="D13" s="105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3" t="s">
        <v>40</v>
      </c>
      <c r="B14" s="105"/>
      <c r="C14" s="124" t="s">
        <v>41</v>
      </c>
      <c r="D14" s="105"/>
      <c r="E14" s="7"/>
      <c r="F14" s="126" t="s">
        <v>42</v>
      </c>
      <c r="G14" s="105"/>
      <c r="H14" s="105"/>
      <c r="I14" s="127" t="s">
        <v>43</v>
      </c>
      <c r="J14" s="114"/>
    </row>
    <row r="15" spans="1:26" ht="15" customHeight="1" x14ac:dyDescent="0.25">
      <c r="A15" s="123" t="s">
        <v>44</v>
      </c>
      <c r="B15" s="105"/>
      <c r="C15" s="124" t="s">
        <v>45</v>
      </c>
      <c r="D15" s="105"/>
      <c r="E15" s="7"/>
      <c r="F15" s="43" t="s">
        <v>74</v>
      </c>
      <c r="G15" s="130" t="str">
        <f>FormSampel!B14</f>
        <v>HC 16350373 - 2</v>
      </c>
      <c r="H15" s="130"/>
      <c r="I15" s="85">
        <f>FormSampel!C14</f>
        <v>45808</v>
      </c>
      <c r="J15" s="86"/>
    </row>
    <row r="16" spans="1:26" ht="15" customHeight="1" x14ac:dyDescent="0.25">
      <c r="A16" s="123" t="s">
        <v>46</v>
      </c>
      <c r="B16" s="105"/>
      <c r="C16" s="129" t="s">
        <v>47</v>
      </c>
      <c r="D16" s="105"/>
      <c r="E16" s="105"/>
      <c r="F16" s="44" t="s">
        <v>75</v>
      </c>
      <c r="G16" s="93" t="str">
        <f>FormSampel!B15</f>
        <v>HC 15161426 - 2</v>
      </c>
      <c r="H16" s="93"/>
      <c r="I16" s="85">
        <f>FormSampel!C15</f>
        <v>45716</v>
      </c>
      <c r="J16" s="8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3" t="str">
        <f>FormSampel!B16</f>
        <v>HC 14813176 - 2</v>
      </c>
      <c r="H17" s="93"/>
      <c r="I17" s="85">
        <f>FormSampel!C16</f>
        <v>45688</v>
      </c>
      <c r="J17" s="8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2" t="str">
        <f>FormSampel!B17</f>
        <v>HC 28942277 - 2</v>
      </c>
      <c r="H18" s="92"/>
      <c r="I18" s="87">
        <f>FormSampel!C17</f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94" t="s">
        <v>49</v>
      </c>
      <c r="B20" s="95"/>
      <c r="C20" s="29">
        <f>FormSampel!G11</f>
        <v>0</v>
      </c>
      <c r="D20" s="30" t="s">
        <v>50</v>
      </c>
      <c r="E20" s="31">
        <v>1000</v>
      </c>
      <c r="F20" s="96" t="s">
        <v>51</v>
      </c>
      <c r="G20" s="95"/>
      <c r="H20" s="97" t="str">
        <f>IF(AND(C21&lt;0.15),"&lt;0.15",C21)</f>
        <v>&lt;0.15</v>
      </c>
      <c r="I20" s="98"/>
      <c r="J20" s="32" t="s">
        <v>52</v>
      </c>
    </row>
    <row r="21" spans="1:26" ht="15.75" customHeight="1" x14ac:dyDescent="0.25">
      <c r="A21" s="33" t="s">
        <v>53</v>
      </c>
      <c r="B21" s="34"/>
      <c r="C21" s="99">
        <f>C20/1000</f>
        <v>0</v>
      </c>
      <c r="D21" s="100"/>
      <c r="E21" s="35"/>
      <c r="F21" s="34"/>
      <c r="G21" s="34"/>
      <c r="H21" s="34"/>
      <c r="I21" s="34"/>
      <c r="J21" s="32"/>
    </row>
    <row r="22" spans="1:26" ht="15.75" customHeight="1" x14ac:dyDescent="0.25">
      <c r="A22" s="101" t="s">
        <v>56</v>
      </c>
      <c r="B22" s="102"/>
      <c r="C22" s="102"/>
      <c r="D22" s="102"/>
      <c r="E22" s="102"/>
      <c r="F22" s="102"/>
      <c r="G22" s="102"/>
      <c r="H22" s="102"/>
      <c r="I22" s="102"/>
      <c r="J22" s="10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4" t="s">
        <v>49</v>
      </c>
      <c r="B23" s="95"/>
      <c r="C23" s="29">
        <f>FormSampel!H11</f>
        <v>0</v>
      </c>
      <c r="D23" s="30" t="s">
        <v>50</v>
      </c>
      <c r="E23" s="36">
        <v>1000</v>
      </c>
      <c r="F23" s="96" t="s">
        <v>51</v>
      </c>
      <c r="G23" s="95"/>
      <c r="H23" s="97" t="str">
        <f>IF(C24&lt;0.15,"&lt;0.15",C24)</f>
        <v>&lt;0.15</v>
      </c>
      <c r="I23" s="98"/>
      <c r="J23" s="32" t="s">
        <v>52</v>
      </c>
    </row>
    <row r="24" spans="1:26" ht="15.75" customHeight="1" x14ac:dyDescent="0.25">
      <c r="A24" s="33" t="s">
        <v>53</v>
      </c>
      <c r="B24" s="34"/>
      <c r="C24" s="99">
        <f>C23/1000</f>
        <v>0</v>
      </c>
      <c r="D24" s="100"/>
      <c r="E24" s="35"/>
      <c r="F24" s="34"/>
      <c r="G24" s="34"/>
      <c r="H24" s="34"/>
      <c r="I24" s="34"/>
      <c r="J24" s="32"/>
    </row>
    <row r="25" spans="1:26" ht="15.75" customHeight="1" x14ac:dyDescent="0.25">
      <c r="A25" s="101" t="s">
        <v>54</v>
      </c>
      <c r="B25" s="102"/>
      <c r="C25" s="102"/>
      <c r="D25" s="102"/>
      <c r="E25" s="102"/>
      <c r="F25" s="102"/>
      <c r="G25" s="102"/>
      <c r="H25" s="102"/>
      <c r="I25" s="102"/>
      <c r="J25" s="10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4" t="s">
        <v>49</v>
      </c>
      <c r="B26" s="105"/>
      <c r="C26" s="29">
        <f>FormSampel!I11</f>
        <v>0</v>
      </c>
      <c r="D26" s="30" t="s">
        <v>50</v>
      </c>
      <c r="E26" s="36">
        <v>1000</v>
      </c>
      <c r="F26" s="106" t="s">
        <v>51</v>
      </c>
      <c r="G26" s="95"/>
      <c r="H26" s="97" t="str">
        <f>IF(AND(C27&lt;0.15),"&lt;0.15",C27)</f>
        <v>&lt;0.15</v>
      </c>
      <c r="I26" s="98"/>
      <c r="J26" s="37" t="s">
        <v>52</v>
      </c>
    </row>
    <row r="27" spans="1:26" ht="15.75" customHeight="1" x14ac:dyDescent="0.25">
      <c r="A27" s="33" t="s">
        <v>53</v>
      </c>
      <c r="B27" s="34"/>
      <c r="C27" s="107">
        <f>C26/1000</f>
        <v>0</v>
      </c>
      <c r="D27" s="108"/>
      <c r="E27" s="35"/>
      <c r="F27" s="34"/>
      <c r="G27" s="34"/>
      <c r="H27" s="34"/>
      <c r="I27" s="34"/>
      <c r="J27" s="32"/>
    </row>
    <row r="28" spans="1:26" ht="15.75" customHeight="1" x14ac:dyDescent="0.25">
      <c r="A28" s="101" t="s">
        <v>55</v>
      </c>
      <c r="B28" s="102"/>
      <c r="C28" s="102"/>
      <c r="D28" s="102"/>
      <c r="E28" s="102"/>
      <c r="F28" s="102"/>
      <c r="G28" s="102"/>
      <c r="H28" s="102"/>
      <c r="I28" s="102"/>
      <c r="J28" s="10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4" t="s">
        <v>49</v>
      </c>
      <c r="B29" s="105"/>
      <c r="C29" s="29">
        <f>FormSampel!J11</f>
        <v>0</v>
      </c>
      <c r="D29" s="30" t="s">
        <v>50</v>
      </c>
      <c r="E29" s="36">
        <v>1000</v>
      </c>
      <c r="F29" s="109" t="s">
        <v>51</v>
      </c>
      <c r="G29" s="105"/>
      <c r="H29" s="97" t="str">
        <f>IF(AND(C30&lt;0.15),"&lt;0.15",C30)</f>
        <v>&lt;0.15</v>
      </c>
      <c r="I29" s="98"/>
      <c r="J29" s="32" t="s">
        <v>52</v>
      </c>
    </row>
    <row r="30" spans="1:26" ht="15.75" customHeight="1" x14ac:dyDescent="0.25">
      <c r="A30" s="33" t="s">
        <v>53</v>
      </c>
      <c r="B30" s="34"/>
      <c r="C30" s="99">
        <f>C29/1000</f>
        <v>0</v>
      </c>
      <c r="D30" s="100"/>
      <c r="E30" s="35"/>
      <c r="F30" s="34"/>
      <c r="G30" s="34"/>
      <c r="H30" s="34"/>
      <c r="I30" s="34"/>
      <c r="J30" s="32"/>
    </row>
    <row r="31" spans="1:26" ht="15.75" customHeight="1" x14ac:dyDescent="0.25">
      <c r="A31" s="142" t="s">
        <v>57</v>
      </c>
      <c r="B31" s="11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3" t="s">
        <v>59</v>
      </c>
      <c r="C32" s="105"/>
      <c r="D32" s="105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05"/>
      <c r="C33" s="105"/>
      <c r="D33" s="105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43" t="s">
        <v>60</v>
      </c>
      <c r="C34" s="105"/>
      <c r="D34" s="105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05"/>
      <c r="C35" s="105"/>
      <c r="D35" s="105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4" t="s">
        <v>61</v>
      </c>
      <c r="B38" s="111"/>
      <c r="C38" s="111"/>
      <c r="D38" s="111"/>
      <c r="E38" s="112"/>
      <c r="F38" s="131" t="str">
        <f>FormSampel!B19</f>
        <v>PERMIT   AMIR   MAISARAH</v>
      </c>
      <c r="G38" s="132"/>
      <c r="H38" s="135">
        <f>FormSampel!B20</f>
        <v>45575</v>
      </c>
      <c r="I38" s="135"/>
      <c r="J38" s="136"/>
    </row>
    <row r="39" spans="1:26" ht="11.25" customHeight="1" x14ac:dyDescent="0.25">
      <c r="A39" s="140"/>
      <c r="B39" s="141"/>
      <c r="C39" s="141"/>
      <c r="D39" s="141"/>
      <c r="E39" s="145"/>
      <c r="F39" s="133"/>
      <c r="G39" s="134"/>
      <c r="H39" s="137"/>
      <c r="I39" s="137"/>
      <c r="J39" s="138"/>
    </row>
    <row r="40" spans="1:26" ht="15.75" customHeight="1" x14ac:dyDescent="0.25">
      <c r="A40" s="139" t="s">
        <v>62</v>
      </c>
      <c r="B40" s="111"/>
      <c r="C40" s="111"/>
      <c r="D40" s="111"/>
      <c r="E40" s="111"/>
      <c r="F40" s="27"/>
      <c r="G40" s="23"/>
      <c r="H40" s="23"/>
      <c r="I40" s="23"/>
      <c r="J40" s="16"/>
    </row>
    <row r="41" spans="1:26" ht="11.25" customHeight="1" x14ac:dyDescent="0.25">
      <c r="A41" s="140"/>
      <c r="B41" s="141"/>
      <c r="C41" s="141"/>
      <c r="D41" s="141"/>
      <c r="E41" s="14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5" t="s">
        <v>0</v>
      </c>
      <c r="B1" s="116"/>
      <c r="C1" s="116"/>
      <c r="D1" s="116"/>
      <c r="E1" s="116"/>
      <c r="F1" s="116"/>
      <c r="G1" s="116"/>
      <c r="H1" s="116"/>
      <c r="I1" s="116"/>
      <c r="J1" s="117"/>
    </row>
    <row r="2" spans="1:26" x14ac:dyDescent="0.25">
      <c r="A2" s="115" t="s">
        <v>1</v>
      </c>
      <c r="B2" s="116"/>
      <c r="C2" s="116"/>
      <c r="D2" s="116"/>
      <c r="E2" s="116"/>
      <c r="F2" s="116"/>
      <c r="G2" s="116"/>
      <c r="H2" s="116"/>
      <c r="I2" s="116"/>
      <c r="J2" s="117"/>
    </row>
    <row r="3" spans="1:26" x14ac:dyDescent="0.25">
      <c r="A3" s="118" t="s">
        <v>2</v>
      </c>
      <c r="B3" s="116"/>
      <c r="C3" s="117"/>
      <c r="D3" s="119">
        <f>FormSampel!F12</f>
        <v>0</v>
      </c>
      <c r="E3" s="116"/>
      <c r="F3" s="116"/>
      <c r="G3" s="116"/>
      <c r="H3" s="116"/>
      <c r="I3" s="116"/>
      <c r="J3" s="117"/>
    </row>
    <row r="4" spans="1:26" x14ac:dyDescent="0.25">
      <c r="A4" s="118" t="s">
        <v>3</v>
      </c>
      <c r="B4" s="116"/>
      <c r="C4" s="117"/>
      <c r="D4" s="119" t="str">
        <f>FormSampel!B2</f>
        <v>101024 (1)</v>
      </c>
      <c r="E4" s="116"/>
      <c r="F4" s="116"/>
      <c r="G4" s="116"/>
      <c r="H4" s="116"/>
      <c r="I4" s="116"/>
      <c r="J4" s="117"/>
    </row>
    <row r="5" spans="1:26" ht="15" customHeight="1" x14ac:dyDescent="0.25">
      <c r="A5" s="120" t="s">
        <v>4</v>
      </c>
      <c r="B5" s="116"/>
      <c r="C5" s="116"/>
      <c r="D5" s="116"/>
      <c r="E5" s="116"/>
      <c r="F5" s="116"/>
      <c r="G5" s="116"/>
      <c r="H5" s="116"/>
      <c r="I5" s="116"/>
      <c r="J5" s="11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0" t="s">
        <v>5</v>
      </c>
      <c r="B6" s="116"/>
      <c r="C6" s="116"/>
      <c r="D6" s="116"/>
      <c r="E6" s="116"/>
      <c r="F6" s="116"/>
      <c r="G6" s="116"/>
      <c r="H6" s="116"/>
      <c r="I6" s="116"/>
      <c r="J6" s="117"/>
    </row>
    <row r="7" spans="1:26" ht="30" customHeight="1" x14ac:dyDescent="0.25">
      <c r="A7" s="121" t="s">
        <v>6</v>
      </c>
      <c r="B7" s="111"/>
      <c r="C7" s="122" t="s">
        <v>7</v>
      </c>
      <c r="D7" s="111"/>
      <c r="E7" s="111"/>
      <c r="F7" s="42" t="s">
        <v>8</v>
      </c>
      <c r="G7" s="110" t="s">
        <v>9</v>
      </c>
      <c r="H7" s="111"/>
      <c r="I7" s="111"/>
      <c r="J7" s="112"/>
    </row>
    <row r="8" spans="1:26" ht="15" customHeight="1" x14ac:dyDescent="0.25">
      <c r="A8" s="123" t="s">
        <v>10</v>
      </c>
      <c r="B8" s="105"/>
      <c r="C8" s="124" t="s">
        <v>11</v>
      </c>
      <c r="D8" s="105"/>
      <c r="E8" s="4"/>
      <c r="F8" s="38" t="s">
        <v>12</v>
      </c>
      <c r="G8" s="6" t="s">
        <v>13</v>
      </c>
      <c r="H8" s="6" t="s">
        <v>14</v>
      </c>
      <c r="I8" s="113"/>
      <c r="J8" s="114"/>
    </row>
    <row r="9" spans="1:26" ht="30" customHeight="1" x14ac:dyDescent="0.25">
      <c r="A9" s="125" t="s">
        <v>15</v>
      </c>
      <c r="B9" s="105"/>
      <c r="C9" s="124" t="s">
        <v>16</v>
      </c>
      <c r="D9" s="105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3" t="s">
        <v>20</v>
      </c>
      <c r="B10" s="105"/>
      <c r="C10" s="124" t="s">
        <v>21</v>
      </c>
      <c r="D10" s="105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05"/>
      <c r="C11" s="128" t="s">
        <v>26</v>
      </c>
      <c r="D11" s="105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3" t="s">
        <v>30</v>
      </c>
      <c r="B12" s="105"/>
      <c r="C12" s="124" t="s">
        <v>31</v>
      </c>
      <c r="D12" s="105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3" t="s">
        <v>35</v>
      </c>
      <c r="B13" s="105"/>
      <c r="C13" s="124" t="s">
        <v>36</v>
      </c>
      <c r="D13" s="105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3" t="s">
        <v>40</v>
      </c>
      <c r="B14" s="105"/>
      <c r="C14" s="124" t="s">
        <v>41</v>
      </c>
      <c r="D14" s="105"/>
      <c r="E14" s="7"/>
      <c r="F14" s="126" t="s">
        <v>42</v>
      </c>
      <c r="G14" s="105"/>
      <c r="H14" s="105"/>
      <c r="I14" s="127" t="s">
        <v>43</v>
      </c>
      <c r="J14" s="114"/>
    </row>
    <row r="15" spans="1:26" ht="15" customHeight="1" x14ac:dyDescent="0.25">
      <c r="A15" s="123" t="s">
        <v>44</v>
      </c>
      <c r="B15" s="105"/>
      <c r="C15" s="124" t="s">
        <v>45</v>
      </c>
      <c r="D15" s="105"/>
      <c r="E15" s="7"/>
      <c r="F15" s="43" t="s">
        <v>74</v>
      </c>
      <c r="G15" s="130" t="str">
        <f>FormSampel!B14</f>
        <v>HC 16350373 - 2</v>
      </c>
      <c r="H15" s="130"/>
      <c r="I15" s="85">
        <f>FormSampel!C14</f>
        <v>45808</v>
      </c>
      <c r="J15" s="86"/>
    </row>
    <row r="16" spans="1:26" ht="15" customHeight="1" x14ac:dyDescent="0.25">
      <c r="A16" s="123" t="s">
        <v>46</v>
      </c>
      <c r="B16" s="105"/>
      <c r="C16" s="129" t="s">
        <v>47</v>
      </c>
      <c r="D16" s="105"/>
      <c r="E16" s="105"/>
      <c r="F16" s="44" t="s">
        <v>75</v>
      </c>
      <c r="G16" s="93" t="str">
        <f>FormSampel!B15</f>
        <v>HC 15161426 - 2</v>
      </c>
      <c r="H16" s="93"/>
      <c r="I16" s="85">
        <f>FormSampel!C15</f>
        <v>45716</v>
      </c>
      <c r="J16" s="8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3" t="str">
        <f>FormSampel!B16</f>
        <v>HC 14813176 - 2</v>
      </c>
      <c r="H17" s="93"/>
      <c r="I17" s="85">
        <f>FormSampel!C16</f>
        <v>45688</v>
      </c>
      <c r="J17" s="8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2" t="str">
        <f>FormSampel!B17</f>
        <v>HC 28942277 - 2</v>
      </c>
      <c r="H18" s="92"/>
      <c r="I18" s="87">
        <f>FormSampel!C17</f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94" t="s">
        <v>49</v>
      </c>
      <c r="B20" s="95"/>
      <c r="C20" s="29">
        <f>FormSampel!G12</f>
        <v>0</v>
      </c>
      <c r="D20" s="30" t="s">
        <v>50</v>
      </c>
      <c r="E20" s="31">
        <v>1000</v>
      </c>
      <c r="F20" s="96" t="s">
        <v>51</v>
      </c>
      <c r="G20" s="95"/>
      <c r="H20" s="97" t="str">
        <f>IF(AND(C21&lt;0.15),"&lt;0.15",C21)</f>
        <v>&lt;0.15</v>
      </c>
      <c r="I20" s="98"/>
      <c r="J20" s="32" t="s">
        <v>52</v>
      </c>
    </row>
    <row r="21" spans="1:26" ht="15.75" customHeight="1" x14ac:dyDescent="0.25">
      <c r="A21" s="33" t="s">
        <v>53</v>
      </c>
      <c r="B21" s="34"/>
      <c r="C21" s="99">
        <f>C20/1000</f>
        <v>0</v>
      </c>
      <c r="D21" s="100"/>
      <c r="E21" s="35"/>
      <c r="F21" s="34"/>
      <c r="G21" s="34"/>
      <c r="H21" s="34"/>
      <c r="I21" s="34"/>
      <c r="J21" s="32"/>
    </row>
    <row r="22" spans="1:26" ht="15.75" customHeight="1" x14ac:dyDescent="0.25">
      <c r="A22" s="101" t="s">
        <v>56</v>
      </c>
      <c r="B22" s="102"/>
      <c r="C22" s="102"/>
      <c r="D22" s="102"/>
      <c r="E22" s="102"/>
      <c r="F22" s="102"/>
      <c r="G22" s="102"/>
      <c r="H22" s="102"/>
      <c r="I22" s="102"/>
      <c r="J22" s="10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4" t="s">
        <v>49</v>
      </c>
      <c r="B23" s="95"/>
      <c r="C23" s="29">
        <f>FormSampel!H12</f>
        <v>0</v>
      </c>
      <c r="D23" s="30" t="s">
        <v>50</v>
      </c>
      <c r="E23" s="36">
        <v>1000</v>
      </c>
      <c r="F23" s="96" t="s">
        <v>51</v>
      </c>
      <c r="G23" s="95"/>
      <c r="H23" s="97" t="str">
        <f>IF(C24&lt;0.15,"&lt;0.15",C24)</f>
        <v>&lt;0.15</v>
      </c>
      <c r="I23" s="98"/>
      <c r="J23" s="32" t="s">
        <v>52</v>
      </c>
    </row>
    <row r="24" spans="1:26" ht="15.75" customHeight="1" x14ac:dyDescent="0.25">
      <c r="A24" s="33" t="s">
        <v>53</v>
      </c>
      <c r="B24" s="34"/>
      <c r="C24" s="99">
        <f>C23/1000</f>
        <v>0</v>
      </c>
      <c r="D24" s="100"/>
      <c r="E24" s="35"/>
      <c r="F24" s="34"/>
      <c r="G24" s="34"/>
      <c r="H24" s="34"/>
      <c r="I24" s="34"/>
      <c r="J24" s="32"/>
    </row>
    <row r="25" spans="1:26" ht="15.75" customHeight="1" x14ac:dyDescent="0.25">
      <c r="A25" s="101" t="s">
        <v>54</v>
      </c>
      <c r="B25" s="102"/>
      <c r="C25" s="102"/>
      <c r="D25" s="102"/>
      <c r="E25" s="102"/>
      <c r="F25" s="102"/>
      <c r="G25" s="102"/>
      <c r="H25" s="102"/>
      <c r="I25" s="102"/>
      <c r="J25" s="10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4" t="s">
        <v>49</v>
      </c>
      <c r="B26" s="105"/>
      <c r="C26" s="29">
        <f>FormSampel!I12</f>
        <v>0</v>
      </c>
      <c r="D26" s="30" t="s">
        <v>50</v>
      </c>
      <c r="E26" s="36">
        <v>1000</v>
      </c>
      <c r="F26" s="106" t="s">
        <v>51</v>
      </c>
      <c r="G26" s="95"/>
      <c r="H26" s="97" t="str">
        <f>IF(AND(C27&lt;0.15),"&lt;0.15",C27)</f>
        <v>&lt;0.15</v>
      </c>
      <c r="I26" s="98"/>
      <c r="J26" s="37" t="s">
        <v>52</v>
      </c>
    </row>
    <row r="27" spans="1:26" ht="15.75" customHeight="1" x14ac:dyDescent="0.25">
      <c r="A27" s="33" t="s">
        <v>53</v>
      </c>
      <c r="B27" s="34"/>
      <c r="C27" s="107">
        <f>C26/1000</f>
        <v>0</v>
      </c>
      <c r="D27" s="108"/>
      <c r="E27" s="35"/>
      <c r="F27" s="34"/>
      <c r="G27" s="34"/>
      <c r="H27" s="34"/>
      <c r="I27" s="34"/>
      <c r="J27" s="32"/>
    </row>
    <row r="28" spans="1:26" ht="15.75" customHeight="1" x14ac:dyDescent="0.25">
      <c r="A28" s="101" t="s">
        <v>55</v>
      </c>
      <c r="B28" s="102"/>
      <c r="C28" s="102"/>
      <c r="D28" s="102"/>
      <c r="E28" s="102"/>
      <c r="F28" s="102"/>
      <c r="G28" s="102"/>
      <c r="H28" s="102"/>
      <c r="I28" s="102"/>
      <c r="J28" s="10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4" t="s">
        <v>49</v>
      </c>
      <c r="B29" s="105"/>
      <c r="C29" s="29">
        <f>FormSampel!J12</f>
        <v>0</v>
      </c>
      <c r="D29" s="30" t="s">
        <v>50</v>
      </c>
      <c r="E29" s="36">
        <v>1000</v>
      </c>
      <c r="F29" s="109" t="s">
        <v>51</v>
      </c>
      <c r="G29" s="105"/>
      <c r="H29" s="97" t="str">
        <f>IF(AND(C30&lt;0.15),"&lt;0.15",C30)</f>
        <v>&lt;0.15</v>
      </c>
      <c r="I29" s="98"/>
      <c r="J29" s="32" t="s">
        <v>52</v>
      </c>
    </row>
    <row r="30" spans="1:26" ht="15.75" customHeight="1" x14ac:dyDescent="0.25">
      <c r="A30" s="33" t="s">
        <v>53</v>
      </c>
      <c r="B30" s="34"/>
      <c r="C30" s="99">
        <f>C29/1000</f>
        <v>0</v>
      </c>
      <c r="D30" s="100"/>
      <c r="E30" s="35"/>
      <c r="F30" s="34"/>
      <c r="G30" s="34"/>
      <c r="H30" s="34"/>
      <c r="I30" s="34"/>
      <c r="J30" s="32"/>
    </row>
    <row r="31" spans="1:26" ht="15.75" customHeight="1" x14ac:dyDescent="0.25">
      <c r="A31" s="142" t="s">
        <v>57</v>
      </c>
      <c r="B31" s="11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3" t="s">
        <v>59</v>
      </c>
      <c r="C32" s="105"/>
      <c r="D32" s="105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05"/>
      <c r="C33" s="105"/>
      <c r="D33" s="105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43" t="s">
        <v>60</v>
      </c>
      <c r="C34" s="105"/>
      <c r="D34" s="105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05"/>
      <c r="C35" s="105"/>
      <c r="D35" s="105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4" t="s">
        <v>61</v>
      </c>
      <c r="B38" s="111"/>
      <c r="C38" s="111"/>
      <c r="D38" s="111"/>
      <c r="E38" s="112"/>
      <c r="F38" s="131" t="str">
        <f>FormSampel!B19</f>
        <v>PERMIT   AMIR   MAISARAH</v>
      </c>
      <c r="G38" s="132"/>
      <c r="H38" s="135">
        <f>FormSampel!B20</f>
        <v>45575</v>
      </c>
      <c r="I38" s="135"/>
      <c r="J38" s="136"/>
    </row>
    <row r="39" spans="1:26" ht="11.25" customHeight="1" x14ac:dyDescent="0.25">
      <c r="A39" s="140"/>
      <c r="B39" s="141"/>
      <c r="C39" s="141"/>
      <c r="D39" s="141"/>
      <c r="E39" s="145"/>
      <c r="F39" s="133"/>
      <c r="G39" s="134"/>
      <c r="H39" s="137"/>
      <c r="I39" s="137"/>
      <c r="J39" s="138"/>
    </row>
    <row r="40" spans="1:26" ht="15.75" customHeight="1" x14ac:dyDescent="0.25">
      <c r="A40" s="139" t="s">
        <v>62</v>
      </c>
      <c r="B40" s="111"/>
      <c r="C40" s="111"/>
      <c r="D40" s="111"/>
      <c r="E40" s="111"/>
      <c r="F40" s="27"/>
      <c r="G40" s="23"/>
      <c r="H40" s="23"/>
      <c r="I40" s="23"/>
      <c r="J40" s="16"/>
    </row>
    <row r="41" spans="1:26" ht="11.25" customHeight="1" x14ac:dyDescent="0.25">
      <c r="A41" s="140"/>
      <c r="B41" s="141"/>
      <c r="C41" s="141"/>
      <c r="D41" s="141"/>
      <c r="E41" s="14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5" t="s">
        <v>0</v>
      </c>
      <c r="B1" s="116"/>
      <c r="C1" s="116"/>
      <c r="D1" s="116"/>
      <c r="E1" s="116"/>
      <c r="F1" s="116"/>
      <c r="G1" s="116"/>
      <c r="H1" s="116"/>
      <c r="I1" s="116"/>
      <c r="J1" s="117"/>
    </row>
    <row r="2" spans="1:26" x14ac:dyDescent="0.25">
      <c r="A2" s="115" t="s">
        <v>1</v>
      </c>
      <c r="B2" s="116"/>
      <c r="C2" s="116"/>
      <c r="D2" s="116"/>
      <c r="E2" s="116"/>
      <c r="F2" s="116"/>
      <c r="G2" s="116"/>
      <c r="H2" s="116"/>
      <c r="I2" s="116"/>
      <c r="J2" s="117"/>
    </row>
    <row r="3" spans="1:26" x14ac:dyDescent="0.25">
      <c r="A3" s="118" t="s">
        <v>2</v>
      </c>
      <c r="B3" s="116"/>
      <c r="C3" s="117"/>
      <c r="D3" s="119">
        <f>FormSampel!F13</f>
        <v>0</v>
      </c>
      <c r="E3" s="116"/>
      <c r="F3" s="116"/>
      <c r="G3" s="116"/>
      <c r="H3" s="116"/>
      <c r="I3" s="116"/>
      <c r="J3" s="117"/>
    </row>
    <row r="4" spans="1:26" x14ac:dyDescent="0.25">
      <c r="A4" s="118" t="s">
        <v>3</v>
      </c>
      <c r="B4" s="116"/>
      <c r="C4" s="117"/>
      <c r="D4" s="119" t="str">
        <f>FormSampel!B2</f>
        <v>101024 (1)</v>
      </c>
      <c r="E4" s="116"/>
      <c r="F4" s="116"/>
      <c r="G4" s="116"/>
      <c r="H4" s="116"/>
      <c r="I4" s="116"/>
      <c r="J4" s="117"/>
    </row>
    <row r="5" spans="1:26" ht="15" customHeight="1" x14ac:dyDescent="0.25">
      <c r="A5" s="120" t="s">
        <v>4</v>
      </c>
      <c r="B5" s="116"/>
      <c r="C5" s="116"/>
      <c r="D5" s="116"/>
      <c r="E5" s="116"/>
      <c r="F5" s="116"/>
      <c r="G5" s="116"/>
      <c r="H5" s="116"/>
      <c r="I5" s="116"/>
      <c r="J5" s="11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0" t="s">
        <v>5</v>
      </c>
      <c r="B6" s="116"/>
      <c r="C6" s="116"/>
      <c r="D6" s="116"/>
      <c r="E6" s="116"/>
      <c r="F6" s="116"/>
      <c r="G6" s="116"/>
      <c r="H6" s="116"/>
      <c r="I6" s="116"/>
      <c r="J6" s="117"/>
    </row>
    <row r="7" spans="1:26" ht="30" customHeight="1" x14ac:dyDescent="0.25">
      <c r="A7" s="121" t="s">
        <v>6</v>
      </c>
      <c r="B7" s="111"/>
      <c r="C7" s="122" t="s">
        <v>7</v>
      </c>
      <c r="D7" s="111"/>
      <c r="E7" s="111"/>
      <c r="F7" s="42" t="s">
        <v>8</v>
      </c>
      <c r="G7" s="110" t="s">
        <v>9</v>
      </c>
      <c r="H7" s="111"/>
      <c r="I7" s="111"/>
      <c r="J7" s="112"/>
    </row>
    <row r="8" spans="1:26" ht="15" customHeight="1" x14ac:dyDescent="0.25">
      <c r="A8" s="123" t="s">
        <v>10</v>
      </c>
      <c r="B8" s="105"/>
      <c r="C8" s="124" t="s">
        <v>11</v>
      </c>
      <c r="D8" s="105"/>
      <c r="E8" s="4"/>
      <c r="F8" s="38" t="s">
        <v>12</v>
      </c>
      <c r="G8" s="6" t="s">
        <v>13</v>
      </c>
      <c r="H8" s="6" t="s">
        <v>14</v>
      </c>
      <c r="I8" s="113"/>
      <c r="J8" s="114"/>
    </row>
    <row r="9" spans="1:26" ht="30" customHeight="1" x14ac:dyDescent="0.25">
      <c r="A9" s="125" t="s">
        <v>15</v>
      </c>
      <c r="B9" s="105"/>
      <c r="C9" s="124" t="s">
        <v>16</v>
      </c>
      <c r="D9" s="105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3" t="s">
        <v>20</v>
      </c>
      <c r="B10" s="105"/>
      <c r="C10" s="124" t="s">
        <v>21</v>
      </c>
      <c r="D10" s="105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05"/>
      <c r="C11" s="128" t="s">
        <v>26</v>
      </c>
      <c r="D11" s="105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3" t="s">
        <v>30</v>
      </c>
      <c r="B12" s="105"/>
      <c r="C12" s="124" t="s">
        <v>31</v>
      </c>
      <c r="D12" s="105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3" t="s">
        <v>35</v>
      </c>
      <c r="B13" s="105"/>
      <c r="C13" s="124" t="s">
        <v>36</v>
      </c>
      <c r="D13" s="105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3" t="s">
        <v>40</v>
      </c>
      <c r="B14" s="105"/>
      <c r="C14" s="124" t="s">
        <v>41</v>
      </c>
      <c r="D14" s="105"/>
      <c r="E14" s="7"/>
      <c r="F14" s="126" t="s">
        <v>42</v>
      </c>
      <c r="G14" s="105"/>
      <c r="H14" s="105"/>
      <c r="I14" s="127" t="s">
        <v>43</v>
      </c>
      <c r="J14" s="114"/>
    </row>
    <row r="15" spans="1:26" ht="15" customHeight="1" x14ac:dyDescent="0.25">
      <c r="A15" s="123" t="s">
        <v>44</v>
      </c>
      <c r="B15" s="105"/>
      <c r="C15" s="124" t="s">
        <v>45</v>
      </c>
      <c r="D15" s="105"/>
      <c r="E15" s="7"/>
      <c r="F15" s="43" t="s">
        <v>74</v>
      </c>
      <c r="G15" s="130" t="str">
        <f>FormSampel!B14</f>
        <v>HC 16350373 - 2</v>
      </c>
      <c r="H15" s="130"/>
      <c r="I15" s="85">
        <f>FormSampel!C14</f>
        <v>45808</v>
      </c>
      <c r="J15" s="86"/>
    </row>
    <row r="16" spans="1:26" ht="15" customHeight="1" x14ac:dyDescent="0.25">
      <c r="A16" s="123" t="s">
        <v>46</v>
      </c>
      <c r="B16" s="105"/>
      <c r="C16" s="129" t="s">
        <v>47</v>
      </c>
      <c r="D16" s="105"/>
      <c r="E16" s="105"/>
      <c r="F16" s="44" t="s">
        <v>75</v>
      </c>
      <c r="G16" s="93" t="str">
        <f>FormSampel!B15</f>
        <v>HC 15161426 - 2</v>
      </c>
      <c r="H16" s="93"/>
      <c r="I16" s="85">
        <f>FormSampel!C15</f>
        <v>45716</v>
      </c>
      <c r="J16" s="8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3" t="str">
        <f>FormSampel!B16</f>
        <v>HC 14813176 - 2</v>
      </c>
      <c r="H17" s="93"/>
      <c r="I17" s="85">
        <f>FormSampel!C16</f>
        <v>45688</v>
      </c>
      <c r="J17" s="8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2" t="str">
        <f>FormSampel!B17</f>
        <v>HC 28942277 - 2</v>
      </c>
      <c r="H18" s="92"/>
      <c r="I18" s="87">
        <f>FormSampel!C17</f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94" t="s">
        <v>49</v>
      </c>
      <c r="B20" s="95"/>
      <c r="C20" s="29">
        <f>FormSampel!G13</f>
        <v>0</v>
      </c>
      <c r="D20" s="30" t="s">
        <v>50</v>
      </c>
      <c r="E20" s="31">
        <v>1000</v>
      </c>
      <c r="F20" s="96" t="s">
        <v>51</v>
      </c>
      <c r="G20" s="95"/>
      <c r="H20" s="97" t="str">
        <f>IF(AND(C21&lt;0.15),"&lt;0.15",C21)</f>
        <v>&lt;0.15</v>
      </c>
      <c r="I20" s="98"/>
      <c r="J20" s="32" t="s">
        <v>52</v>
      </c>
    </row>
    <row r="21" spans="1:26" ht="15.75" customHeight="1" x14ac:dyDescent="0.25">
      <c r="A21" s="33" t="s">
        <v>53</v>
      </c>
      <c r="B21" s="34"/>
      <c r="C21" s="99">
        <f>C20/1000</f>
        <v>0</v>
      </c>
      <c r="D21" s="100"/>
      <c r="E21" s="35"/>
      <c r="F21" s="34"/>
      <c r="G21" s="34"/>
      <c r="H21" s="34"/>
      <c r="I21" s="34"/>
      <c r="J21" s="32"/>
    </row>
    <row r="22" spans="1:26" ht="15.75" customHeight="1" x14ac:dyDescent="0.25">
      <c r="A22" s="101" t="s">
        <v>56</v>
      </c>
      <c r="B22" s="102"/>
      <c r="C22" s="102"/>
      <c r="D22" s="102"/>
      <c r="E22" s="102"/>
      <c r="F22" s="102"/>
      <c r="G22" s="102"/>
      <c r="H22" s="102"/>
      <c r="I22" s="102"/>
      <c r="J22" s="10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4" t="s">
        <v>49</v>
      </c>
      <c r="B23" s="95"/>
      <c r="C23" s="29">
        <f>FormSampel!H13</f>
        <v>0</v>
      </c>
      <c r="D23" s="30" t="s">
        <v>50</v>
      </c>
      <c r="E23" s="36">
        <v>1000</v>
      </c>
      <c r="F23" s="96" t="s">
        <v>51</v>
      </c>
      <c r="G23" s="95"/>
      <c r="H23" s="97" t="str">
        <f>IF(C24&lt;0.15,"&lt;0.15",C24)</f>
        <v>&lt;0.15</v>
      </c>
      <c r="I23" s="98"/>
      <c r="J23" s="32" t="s">
        <v>52</v>
      </c>
    </row>
    <row r="24" spans="1:26" ht="15.75" customHeight="1" x14ac:dyDescent="0.25">
      <c r="A24" s="33" t="s">
        <v>53</v>
      </c>
      <c r="B24" s="34"/>
      <c r="C24" s="99">
        <f>C23/1000</f>
        <v>0</v>
      </c>
      <c r="D24" s="100"/>
      <c r="E24" s="35"/>
      <c r="F24" s="34"/>
      <c r="G24" s="34"/>
      <c r="H24" s="34"/>
      <c r="I24" s="34"/>
      <c r="J24" s="32"/>
    </row>
    <row r="25" spans="1:26" ht="15.75" customHeight="1" x14ac:dyDescent="0.25">
      <c r="A25" s="101" t="s">
        <v>54</v>
      </c>
      <c r="B25" s="102"/>
      <c r="C25" s="102"/>
      <c r="D25" s="102"/>
      <c r="E25" s="102"/>
      <c r="F25" s="102"/>
      <c r="G25" s="102"/>
      <c r="H25" s="102"/>
      <c r="I25" s="102"/>
      <c r="J25" s="10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4" t="s">
        <v>49</v>
      </c>
      <c r="B26" s="105"/>
      <c r="C26" s="29">
        <f>FormSampel!I13</f>
        <v>0</v>
      </c>
      <c r="D26" s="30" t="s">
        <v>50</v>
      </c>
      <c r="E26" s="36">
        <v>1000</v>
      </c>
      <c r="F26" s="106" t="s">
        <v>51</v>
      </c>
      <c r="G26" s="95"/>
      <c r="H26" s="97" t="str">
        <f>IF(AND(C27&lt;0.15),"&lt;0.15",C27)</f>
        <v>&lt;0.15</v>
      </c>
      <c r="I26" s="98"/>
      <c r="J26" s="37" t="s">
        <v>52</v>
      </c>
    </row>
    <row r="27" spans="1:26" ht="15.75" customHeight="1" x14ac:dyDescent="0.25">
      <c r="A27" s="33" t="s">
        <v>53</v>
      </c>
      <c r="B27" s="34"/>
      <c r="C27" s="107">
        <f>C26/1000</f>
        <v>0</v>
      </c>
      <c r="D27" s="108"/>
      <c r="E27" s="35"/>
      <c r="F27" s="34"/>
      <c r="G27" s="34"/>
      <c r="H27" s="34"/>
      <c r="I27" s="34"/>
      <c r="J27" s="32"/>
    </row>
    <row r="28" spans="1:26" ht="15.75" customHeight="1" x14ac:dyDescent="0.25">
      <c r="A28" s="101" t="s">
        <v>55</v>
      </c>
      <c r="B28" s="102"/>
      <c r="C28" s="102"/>
      <c r="D28" s="102"/>
      <c r="E28" s="102"/>
      <c r="F28" s="102"/>
      <c r="G28" s="102"/>
      <c r="H28" s="102"/>
      <c r="I28" s="102"/>
      <c r="J28" s="10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4" t="s">
        <v>49</v>
      </c>
      <c r="B29" s="105"/>
      <c r="C29" s="29">
        <f>FormSampel!J13</f>
        <v>0</v>
      </c>
      <c r="D29" s="30" t="s">
        <v>50</v>
      </c>
      <c r="E29" s="36">
        <v>1000</v>
      </c>
      <c r="F29" s="109" t="s">
        <v>51</v>
      </c>
      <c r="G29" s="105"/>
      <c r="H29" s="97" t="str">
        <f>IF(AND(C30&lt;0.15),"&lt;0.15",C30)</f>
        <v>&lt;0.15</v>
      </c>
      <c r="I29" s="98"/>
      <c r="J29" s="32" t="s">
        <v>52</v>
      </c>
    </row>
    <row r="30" spans="1:26" ht="15.75" customHeight="1" x14ac:dyDescent="0.25">
      <c r="A30" s="33" t="s">
        <v>53</v>
      </c>
      <c r="B30" s="34"/>
      <c r="C30" s="99">
        <f>C29/1000</f>
        <v>0</v>
      </c>
      <c r="D30" s="100"/>
      <c r="E30" s="35"/>
      <c r="F30" s="34"/>
      <c r="G30" s="34"/>
      <c r="H30" s="34"/>
      <c r="I30" s="34"/>
      <c r="J30" s="32"/>
    </row>
    <row r="31" spans="1:26" ht="15.75" customHeight="1" x14ac:dyDescent="0.25">
      <c r="A31" s="142" t="s">
        <v>57</v>
      </c>
      <c r="B31" s="11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3" t="s">
        <v>59</v>
      </c>
      <c r="C32" s="105"/>
      <c r="D32" s="105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05"/>
      <c r="C33" s="105"/>
      <c r="D33" s="105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43" t="s">
        <v>60</v>
      </c>
      <c r="C34" s="105"/>
      <c r="D34" s="105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05"/>
      <c r="C35" s="105"/>
      <c r="D35" s="105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4" t="s">
        <v>61</v>
      </c>
      <c r="B38" s="111"/>
      <c r="C38" s="111"/>
      <c r="D38" s="111"/>
      <c r="E38" s="112"/>
      <c r="F38" s="131" t="str">
        <f>FormSampel!B19</f>
        <v>PERMIT   AMIR   MAISARAH</v>
      </c>
      <c r="G38" s="132"/>
      <c r="H38" s="135">
        <f>FormSampel!B20</f>
        <v>45575</v>
      </c>
      <c r="I38" s="135"/>
      <c r="J38" s="136"/>
    </row>
    <row r="39" spans="1:26" ht="11.25" customHeight="1" x14ac:dyDescent="0.25">
      <c r="A39" s="140"/>
      <c r="B39" s="141"/>
      <c r="C39" s="141"/>
      <c r="D39" s="141"/>
      <c r="E39" s="145"/>
      <c r="F39" s="133"/>
      <c r="G39" s="134"/>
      <c r="H39" s="137"/>
      <c r="I39" s="137"/>
      <c r="J39" s="138"/>
    </row>
    <row r="40" spans="1:26" ht="15.75" customHeight="1" x14ac:dyDescent="0.25">
      <c r="A40" s="139" t="s">
        <v>62</v>
      </c>
      <c r="B40" s="111"/>
      <c r="C40" s="111"/>
      <c r="D40" s="111"/>
      <c r="E40" s="111"/>
      <c r="F40" s="27"/>
      <c r="G40" s="23"/>
      <c r="H40" s="23"/>
      <c r="I40" s="23"/>
      <c r="J40" s="16"/>
    </row>
    <row r="41" spans="1:26" ht="11.25" customHeight="1" x14ac:dyDescent="0.25">
      <c r="A41" s="140"/>
      <c r="B41" s="141"/>
      <c r="C41" s="141"/>
      <c r="D41" s="141"/>
      <c r="E41" s="14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9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5" t="s">
        <v>0</v>
      </c>
      <c r="B1" s="116"/>
      <c r="C1" s="116"/>
      <c r="D1" s="116"/>
      <c r="E1" s="116"/>
      <c r="F1" s="116"/>
      <c r="G1" s="116"/>
      <c r="H1" s="116"/>
      <c r="I1" s="116"/>
      <c r="J1" s="117"/>
    </row>
    <row r="2" spans="1:26" x14ac:dyDescent="0.25">
      <c r="A2" s="115" t="s">
        <v>1</v>
      </c>
      <c r="B2" s="116"/>
      <c r="C2" s="116"/>
      <c r="D2" s="116"/>
      <c r="E2" s="116"/>
      <c r="F2" s="116"/>
      <c r="G2" s="116"/>
      <c r="H2" s="116"/>
      <c r="I2" s="116"/>
      <c r="J2" s="117"/>
    </row>
    <row r="3" spans="1:26" x14ac:dyDescent="0.25">
      <c r="A3" s="118" t="s">
        <v>2</v>
      </c>
      <c r="B3" s="116"/>
      <c r="C3" s="117"/>
      <c r="D3" s="119">
        <f>FormSampel!F14</f>
        <v>0</v>
      </c>
      <c r="E3" s="116"/>
      <c r="F3" s="116"/>
      <c r="G3" s="116"/>
      <c r="H3" s="116"/>
      <c r="I3" s="116"/>
      <c r="J3" s="117"/>
    </row>
    <row r="4" spans="1:26" x14ac:dyDescent="0.25">
      <c r="A4" s="118" t="s">
        <v>3</v>
      </c>
      <c r="B4" s="116"/>
      <c r="C4" s="117"/>
      <c r="D4" s="119" t="str">
        <f>FormSampel!B2</f>
        <v>101024 (1)</v>
      </c>
      <c r="E4" s="116"/>
      <c r="F4" s="116"/>
      <c r="G4" s="116"/>
      <c r="H4" s="116"/>
      <c r="I4" s="116"/>
      <c r="J4" s="117"/>
    </row>
    <row r="5" spans="1:26" ht="15" customHeight="1" x14ac:dyDescent="0.25">
      <c r="A5" s="120" t="s">
        <v>4</v>
      </c>
      <c r="B5" s="116"/>
      <c r="C5" s="116"/>
      <c r="D5" s="116"/>
      <c r="E5" s="116"/>
      <c r="F5" s="116"/>
      <c r="G5" s="116"/>
      <c r="H5" s="116"/>
      <c r="I5" s="116"/>
      <c r="J5" s="11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0" t="s">
        <v>5</v>
      </c>
      <c r="B6" s="116"/>
      <c r="C6" s="116"/>
      <c r="D6" s="116"/>
      <c r="E6" s="116"/>
      <c r="F6" s="116"/>
      <c r="G6" s="116"/>
      <c r="H6" s="116"/>
      <c r="I6" s="116"/>
      <c r="J6" s="117"/>
    </row>
    <row r="7" spans="1:26" ht="30" customHeight="1" x14ac:dyDescent="0.25">
      <c r="A7" s="121" t="s">
        <v>6</v>
      </c>
      <c r="B7" s="111"/>
      <c r="C7" s="122" t="s">
        <v>7</v>
      </c>
      <c r="D7" s="111"/>
      <c r="E7" s="111"/>
      <c r="F7" s="42" t="s">
        <v>8</v>
      </c>
      <c r="G7" s="110" t="s">
        <v>9</v>
      </c>
      <c r="H7" s="111"/>
      <c r="I7" s="111"/>
      <c r="J7" s="112"/>
    </row>
    <row r="8" spans="1:26" ht="15" customHeight="1" x14ac:dyDescent="0.25">
      <c r="A8" s="123" t="s">
        <v>10</v>
      </c>
      <c r="B8" s="105"/>
      <c r="C8" s="124" t="s">
        <v>11</v>
      </c>
      <c r="D8" s="105"/>
      <c r="E8" s="4"/>
      <c r="F8" s="38" t="s">
        <v>12</v>
      </c>
      <c r="G8" s="6" t="s">
        <v>13</v>
      </c>
      <c r="H8" s="6" t="s">
        <v>14</v>
      </c>
      <c r="I8" s="113"/>
      <c r="J8" s="114"/>
    </row>
    <row r="9" spans="1:26" ht="30" customHeight="1" x14ac:dyDescent="0.25">
      <c r="A9" s="125" t="s">
        <v>15</v>
      </c>
      <c r="B9" s="105"/>
      <c r="C9" s="124" t="s">
        <v>16</v>
      </c>
      <c r="D9" s="105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3" t="s">
        <v>20</v>
      </c>
      <c r="B10" s="105"/>
      <c r="C10" s="124" t="s">
        <v>21</v>
      </c>
      <c r="D10" s="105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05"/>
      <c r="C11" s="128" t="s">
        <v>26</v>
      </c>
      <c r="D11" s="105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3" t="s">
        <v>30</v>
      </c>
      <c r="B12" s="105"/>
      <c r="C12" s="124" t="s">
        <v>31</v>
      </c>
      <c r="D12" s="105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3" t="s">
        <v>35</v>
      </c>
      <c r="B13" s="105"/>
      <c r="C13" s="124" t="s">
        <v>36</v>
      </c>
      <c r="D13" s="105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3" t="s">
        <v>40</v>
      </c>
      <c r="B14" s="105"/>
      <c r="C14" s="124" t="s">
        <v>41</v>
      </c>
      <c r="D14" s="105"/>
      <c r="E14" s="7"/>
      <c r="F14" s="126" t="s">
        <v>42</v>
      </c>
      <c r="G14" s="105"/>
      <c r="H14" s="105"/>
      <c r="I14" s="127" t="s">
        <v>43</v>
      </c>
      <c r="J14" s="114"/>
    </row>
    <row r="15" spans="1:26" ht="15" customHeight="1" x14ac:dyDescent="0.25">
      <c r="A15" s="123" t="s">
        <v>44</v>
      </c>
      <c r="B15" s="105"/>
      <c r="C15" s="124" t="s">
        <v>45</v>
      </c>
      <c r="D15" s="105"/>
      <c r="E15" s="7"/>
      <c r="F15" s="43" t="s">
        <v>74</v>
      </c>
      <c r="G15" s="130" t="str">
        <f>FormSampel!B14</f>
        <v>HC 16350373 - 2</v>
      </c>
      <c r="H15" s="130"/>
      <c r="I15" s="85">
        <f>FormSampel!C14</f>
        <v>45808</v>
      </c>
      <c r="J15" s="86"/>
    </row>
    <row r="16" spans="1:26" ht="15" customHeight="1" x14ac:dyDescent="0.25">
      <c r="A16" s="123" t="s">
        <v>46</v>
      </c>
      <c r="B16" s="105"/>
      <c r="C16" s="129" t="s">
        <v>47</v>
      </c>
      <c r="D16" s="105"/>
      <c r="E16" s="105"/>
      <c r="F16" s="44" t="s">
        <v>75</v>
      </c>
      <c r="G16" s="93" t="str">
        <f>FormSampel!B15</f>
        <v>HC 15161426 - 2</v>
      </c>
      <c r="H16" s="93"/>
      <c r="I16" s="85">
        <f>FormSampel!C15</f>
        <v>45716</v>
      </c>
      <c r="J16" s="8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3" t="str">
        <f>FormSampel!B16</f>
        <v>HC 14813176 - 2</v>
      </c>
      <c r="H17" s="93"/>
      <c r="I17" s="85">
        <f>FormSampel!C16</f>
        <v>45688</v>
      </c>
      <c r="J17" s="8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2" t="str">
        <f>FormSampel!B17</f>
        <v>HC 28942277 - 2</v>
      </c>
      <c r="H18" s="92"/>
      <c r="I18" s="87">
        <f>FormSampel!C17</f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94" t="s">
        <v>49</v>
      </c>
      <c r="B20" s="95"/>
      <c r="C20" s="29">
        <f>FormSampel!G14</f>
        <v>0</v>
      </c>
      <c r="D20" s="30" t="s">
        <v>50</v>
      </c>
      <c r="E20" s="31">
        <v>1000</v>
      </c>
      <c r="F20" s="96" t="s">
        <v>51</v>
      </c>
      <c r="G20" s="95"/>
      <c r="H20" s="97" t="str">
        <f>IF(AND(C21&lt;0.15),"&lt;0.15",C21)</f>
        <v>&lt;0.15</v>
      </c>
      <c r="I20" s="98"/>
      <c r="J20" s="32" t="s">
        <v>52</v>
      </c>
    </row>
    <row r="21" spans="1:26" ht="15.75" customHeight="1" x14ac:dyDescent="0.25">
      <c r="A21" s="33" t="s">
        <v>53</v>
      </c>
      <c r="B21" s="34"/>
      <c r="C21" s="99">
        <f>C20/1000</f>
        <v>0</v>
      </c>
      <c r="D21" s="100"/>
      <c r="E21" s="35"/>
      <c r="F21" s="34"/>
      <c r="G21" s="34"/>
      <c r="H21" s="34"/>
      <c r="I21" s="34"/>
      <c r="J21" s="32"/>
    </row>
    <row r="22" spans="1:26" ht="15.75" customHeight="1" x14ac:dyDescent="0.25">
      <c r="A22" s="101" t="s">
        <v>56</v>
      </c>
      <c r="B22" s="102"/>
      <c r="C22" s="102"/>
      <c r="D22" s="102"/>
      <c r="E22" s="102"/>
      <c r="F22" s="102"/>
      <c r="G22" s="102"/>
      <c r="H22" s="102"/>
      <c r="I22" s="102"/>
      <c r="J22" s="10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4" t="s">
        <v>49</v>
      </c>
      <c r="B23" s="95"/>
      <c r="C23" s="29">
        <f>FormSampel!H14</f>
        <v>0</v>
      </c>
      <c r="D23" s="30" t="s">
        <v>50</v>
      </c>
      <c r="E23" s="36">
        <v>1000</v>
      </c>
      <c r="F23" s="96" t="s">
        <v>51</v>
      </c>
      <c r="G23" s="95"/>
      <c r="H23" s="97" t="str">
        <f>IF(C24&lt;0.15,"&lt;0.15",C24)</f>
        <v>&lt;0.15</v>
      </c>
      <c r="I23" s="98"/>
      <c r="J23" s="32" t="s">
        <v>52</v>
      </c>
    </row>
    <row r="24" spans="1:26" ht="15.75" customHeight="1" x14ac:dyDescent="0.25">
      <c r="A24" s="33" t="s">
        <v>53</v>
      </c>
      <c r="B24" s="34"/>
      <c r="C24" s="99">
        <f>C23/1000</f>
        <v>0</v>
      </c>
      <c r="D24" s="100"/>
      <c r="E24" s="35"/>
      <c r="F24" s="34"/>
      <c r="G24" s="34"/>
      <c r="H24" s="34"/>
      <c r="I24" s="34"/>
      <c r="J24" s="32"/>
    </row>
    <row r="25" spans="1:26" ht="15.75" customHeight="1" x14ac:dyDescent="0.25">
      <c r="A25" s="101" t="s">
        <v>54</v>
      </c>
      <c r="B25" s="102"/>
      <c r="C25" s="102"/>
      <c r="D25" s="102"/>
      <c r="E25" s="102"/>
      <c r="F25" s="102"/>
      <c r="G25" s="102"/>
      <c r="H25" s="102"/>
      <c r="I25" s="102"/>
      <c r="J25" s="10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4" t="s">
        <v>49</v>
      </c>
      <c r="B26" s="105"/>
      <c r="C26" s="29">
        <f>FormSampel!I14</f>
        <v>0</v>
      </c>
      <c r="D26" s="30" t="s">
        <v>50</v>
      </c>
      <c r="E26" s="36">
        <v>1000</v>
      </c>
      <c r="F26" s="106" t="s">
        <v>51</v>
      </c>
      <c r="G26" s="95"/>
      <c r="H26" s="97" t="str">
        <f>IF(AND(C27&lt;0.15),"&lt;0.15",C27)</f>
        <v>&lt;0.15</v>
      </c>
      <c r="I26" s="98"/>
      <c r="J26" s="37" t="s">
        <v>52</v>
      </c>
    </row>
    <row r="27" spans="1:26" ht="15.75" customHeight="1" x14ac:dyDescent="0.25">
      <c r="A27" s="33" t="s">
        <v>53</v>
      </c>
      <c r="B27" s="34"/>
      <c r="C27" s="107">
        <f>C26/1000</f>
        <v>0</v>
      </c>
      <c r="D27" s="108"/>
      <c r="E27" s="35"/>
      <c r="F27" s="34"/>
      <c r="G27" s="34"/>
      <c r="H27" s="34"/>
      <c r="I27" s="34"/>
      <c r="J27" s="32"/>
    </row>
    <row r="28" spans="1:26" ht="15.75" customHeight="1" x14ac:dyDescent="0.25">
      <c r="A28" s="101" t="s">
        <v>55</v>
      </c>
      <c r="B28" s="102"/>
      <c r="C28" s="102"/>
      <c r="D28" s="102"/>
      <c r="E28" s="102"/>
      <c r="F28" s="102"/>
      <c r="G28" s="102"/>
      <c r="H28" s="102"/>
      <c r="I28" s="102"/>
      <c r="J28" s="10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4" t="s">
        <v>49</v>
      </c>
      <c r="B29" s="105"/>
      <c r="C29" s="29">
        <f>FormSampel!J14</f>
        <v>0</v>
      </c>
      <c r="D29" s="30" t="s">
        <v>50</v>
      </c>
      <c r="E29" s="36">
        <v>1000</v>
      </c>
      <c r="F29" s="109" t="s">
        <v>51</v>
      </c>
      <c r="G29" s="105"/>
      <c r="H29" s="97" t="str">
        <f>IF(AND(C30&lt;0.15),"&lt;0.15",C30)</f>
        <v>&lt;0.15</v>
      </c>
      <c r="I29" s="98"/>
      <c r="J29" s="32" t="s">
        <v>52</v>
      </c>
    </row>
    <row r="30" spans="1:26" ht="15.75" customHeight="1" x14ac:dyDescent="0.25">
      <c r="A30" s="33" t="s">
        <v>53</v>
      </c>
      <c r="B30" s="34"/>
      <c r="C30" s="99">
        <f>C29/1000</f>
        <v>0</v>
      </c>
      <c r="D30" s="100"/>
      <c r="E30" s="35"/>
      <c r="F30" s="34"/>
      <c r="G30" s="34"/>
      <c r="H30" s="34"/>
      <c r="I30" s="34"/>
      <c r="J30" s="32"/>
    </row>
    <row r="31" spans="1:26" ht="15.75" customHeight="1" x14ac:dyDescent="0.25">
      <c r="A31" s="142" t="s">
        <v>57</v>
      </c>
      <c r="B31" s="11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3" t="s">
        <v>59</v>
      </c>
      <c r="C32" s="105"/>
      <c r="D32" s="105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05"/>
      <c r="C33" s="105"/>
      <c r="D33" s="105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43" t="s">
        <v>60</v>
      </c>
      <c r="C34" s="105"/>
      <c r="D34" s="105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05"/>
      <c r="C35" s="105"/>
      <c r="D35" s="105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4" t="s">
        <v>61</v>
      </c>
      <c r="B38" s="111"/>
      <c r="C38" s="111"/>
      <c r="D38" s="111"/>
      <c r="E38" s="112"/>
      <c r="F38" s="131" t="str">
        <f>FormSampel!B19</f>
        <v>PERMIT   AMIR   MAISARAH</v>
      </c>
      <c r="G38" s="132"/>
      <c r="H38" s="135">
        <f>FormSampel!B20</f>
        <v>45575</v>
      </c>
      <c r="I38" s="135"/>
      <c r="J38" s="136"/>
    </row>
    <row r="39" spans="1:26" ht="11.25" customHeight="1" x14ac:dyDescent="0.25">
      <c r="A39" s="140"/>
      <c r="B39" s="141"/>
      <c r="C39" s="141"/>
      <c r="D39" s="141"/>
      <c r="E39" s="145"/>
      <c r="F39" s="133"/>
      <c r="G39" s="134"/>
      <c r="H39" s="137"/>
      <c r="I39" s="137"/>
      <c r="J39" s="138"/>
    </row>
    <row r="40" spans="1:26" ht="15.75" customHeight="1" x14ac:dyDescent="0.25">
      <c r="A40" s="139" t="s">
        <v>62</v>
      </c>
      <c r="B40" s="111"/>
      <c r="C40" s="111"/>
      <c r="D40" s="111"/>
      <c r="E40" s="111"/>
      <c r="F40" s="27"/>
      <c r="G40" s="23"/>
      <c r="H40" s="23"/>
      <c r="I40" s="23"/>
      <c r="J40" s="16"/>
    </row>
    <row r="41" spans="1:26" ht="11.25" customHeight="1" x14ac:dyDescent="0.25">
      <c r="A41" s="140"/>
      <c r="B41" s="141"/>
      <c r="C41" s="141"/>
      <c r="D41" s="141"/>
      <c r="E41" s="14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5" t="s">
        <v>0</v>
      </c>
      <c r="B1" s="116"/>
      <c r="C1" s="116"/>
      <c r="D1" s="116"/>
      <c r="E1" s="116"/>
      <c r="F1" s="116"/>
      <c r="G1" s="116"/>
      <c r="H1" s="116"/>
      <c r="I1" s="116"/>
      <c r="J1" s="117"/>
    </row>
    <row r="2" spans="1:26" x14ac:dyDescent="0.25">
      <c r="A2" s="115" t="s">
        <v>1</v>
      </c>
      <c r="B2" s="116"/>
      <c r="C2" s="116"/>
      <c r="D2" s="116"/>
      <c r="E2" s="116"/>
      <c r="F2" s="116"/>
      <c r="G2" s="116"/>
      <c r="H2" s="116"/>
      <c r="I2" s="116"/>
      <c r="J2" s="117"/>
    </row>
    <row r="3" spans="1:26" x14ac:dyDescent="0.25">
      <c r="A3" s="118" t="s">
        <v>2</v>
      </c>
      <c r="B3" s="116"/>
      <c r="C3" s="117"/>
      <c r="D3" s="119">
        <f>FormSampel!F15</f>
        <v>0</v>
      </c>
      <c r="E3" s="116"/>
      <c r="F3" s="116"/>
      <c r="G3" s="116"/>
      <c r="H3" s="116"/>
      <c r="I3" s="116"/>
      <c r="J3" s="117"/>
    </row>
    <row r="4" spans="1:26" x14ac:dyDescent="0.25">
      <c r="A4" s="118" t="s">
        <v>3</v>
      </c>
      <c r="B4" s="116"/>
      <c r="C4" s="117"/>
      <c r="D4" s="119" t="str">
        <f>FormSampel!B2</f>
        <v>101024 (1)</v>
      </c>
      <c r="E4" s="116"/>
      <c r="F4" s="116"/>
      <c r="G4" s="116"/>
      <c r="H4" s="116"/>
      <c r="I4" s="116"/>
      <c r="J4" s="117"/>
    </row>
    <row r="5" spans="1:26" ht="15" customHeight="1" x14ac:dyDescent="0.25">
      <c r="A5" s="120" t="s">
        <v>4</v>
      </c>
      <c r="B5" s="116"/>
      <c r="C5" s="116"/>
      <c r="D5" s="116"/>
      <c r="E5" s="116"/>
      <c r="F5" s="116"/>
      <c r="G5" s="116"/>
      <c r="H5" s="116"/>
      <c r="I5" s="116"/>
      <c r="J5" s="11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0" t="s">
        <v>5</v>
      </c>
      <c r="B6" s="116"/>
      <c r="C6" s="116"/>
      <c r="D6" s="116"/>
      <c r="E6" s="116"/>
      <c r="F6" s="116"/>
      <c r="G6" s="116"/>
      <c r="H6" s="116"/>
      <c r="I6" s="116"/>
      <c r="J6" s="117"/>
    </row>
    <row r="7" spans="1:26" ht="30" customHeight="1" x14ac:dyDescent="0.25">
      <c r="A7" s="121" t="s">
        <v>6</v>
      </c>
      <c r="B7" s="111"/>
      <c r="C7" s="122" t="s">
        <v>7</v>
      </c>
      <c r="D7" s="111"/>
      <c r="E7" s="111"/>
      <c r="F7" s="42" t="s">
        <v>8</v>
      </c>
      <c r="G7" s="110" t="s">
        <v>9</v>
      </c>
      <c r="H7" s="111"/>
      <c r="I7" s="111"/>
      <c r="J7" s="112"/>
    </row>
    <row r="8" spans="1:26" ht="15" customHeight="1" x14ac:dyDescent="0.25">
      <c r="A8" s="123" t="s">
        <v>10</v>
      </c>
      <c r="B8" s="105"/>
      <c r="C8" s="124" t="s">
        <v>11</v>
      </c>
      <c r="D8" s="105"/>
      <c r="E8" s="4"/>
      <c r="F8" s="38" t="s">
        <v>12</v>
      </c>
      <c r="G8" s="6" t="s">
        <v>13</v>
      </c>
      <c r="H8" s="6" t="s">
        <v>14</v>
      </c>
      <c r="I8" s="113"/>
      <c r="J8" s="114"/>
    </row>
    <row r="9" spans="1:26" ht="30" customHeight="1" x14ac:dyDescent="0.25">
      <c r="A9" s="125" t="s">
        <v>15</v>
      </c>
      <c r="B9" s="105"/>
      <c r="C9" s="124" t="s">
        <v>16</v>
      </c>
      <c r="D9" s="105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3" t="s">
        <v>20</v>
      </c>
      <c r="B10" s="105"/>
      <c r="C10" s="124" t="s">
        <v>21</v>
      </c>
      <c r="D10" s="105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05"/>
      <c r="C11" s="128" t="s">
        <v>26</v>
      </c>
      <c r="D11" s="105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3" t="s">
        <v>30</v>
      </c>
      <c r="B12" s="105"/>
      <c r="C12" s="124" t="s">
        <v>31</v>
      </c>
      <c r="D12" s="105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3" t="s">
        <v>35</v>
      </c>
      <c r="B13" s="105"/>
      <c r="C13" s="124" t="s">
        <v>36</v>
      </c>
      <c r="D13" s="105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3" t="s">
        <v>40</v>
      </c>
      <c r="B14" s="105"/>
      <c r="C14" s="124" t="s">
        <v>41</v>
      </c>
      <c r="D14" s="105"/>
      <c r="E14" s="7"/>
      <c r="F14" s="126" t="s">
        <v>42</v>
      </c>
      <c r="G14" s="105"/>
      <c r="H14" s="105"/>
      <c r="I14" s="127" t="s">
        <v>43</v>
      </c>
      <c r="J14" s="114"/>
    </row>
    <row r="15" spans="1:26" ht="15" customHeight="1" x14ac:dyDescent="0.25">
      <c r="A15" s="123" t="s">
        <v>44</v>
      </c>
      <c r="B15" s="105"/>
      <c r="C15" s="124" t="s">
        <v>45</v>
      </c>
      <c r="D15" s="105"/>
      <c r="E15" s="7"/>
      <c r="F15" s="43" t="s">
        <v>74</v>
      </c>
      <c r="G15" s="130" t="str">
        <f>FormSampel!B14</f>
        <v>HC 16350373 - 2</v>
      </c>
      <c r="H15" s="130"/>
      <c r="I15" s="85">
        <f>FormSampel!C14</f>
        <v>45808</v>
      </c>
      <c r="J15" s="86"/>
    </row>
    <row r="16" spans="1:26" ht="15" customHeight="1" x14ac:dyDescent="0.25">
      <c r="A16" s="123" t="s">
        <v>46</v>
      </c>
      <c r="B16" s="105"/>
      <c r="C16" s="129" t="s">
        <v>47</v>
      </c>
      <c r="D16" s="105"/>
      <c r="E16" s="105"/>
      <c r="F16" s="44" t="s">
        <v>75</v>
      </c>
      <c r="G16" s="93" t="str">
        <f>FormSampel!B15</f>
        <v>HC 15161426 - 2</v>
      </c>
      <c r="H16" s="93"/>
      <c r="I16" s="85">
        <f>FormSampel!C15</f>
        <v>45716</v>
      </c>
      <c r="J16" s="8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3" t="str">
        <f>FormSampel!B16</f>
        <v>HC 14813176 - 2</v>
      </c>
      <c r="H17" s="93"/>
      <c r="I17" s="85">
        <f>FormSampel!C16</f>
        <v>45688</v>
      </c>
      <c r="J17" s="8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2" t="str">
        <f>FormSampel!B17</f>
        <v>HC 28942277 - 2</v>
      </c>
      <c r="H18" s="92"/>
      <c r="I18" s="87">
        <f>FormSampel!C17</f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94" t="s">
        <v>49</v>
      </c>
      <c r="B20" s="95"/>
      <c r="C20" s="29">
        <f>FormSampel!G15</f>
        <v>0</v>
      </c>
      <c r="D20" s="30" t="s">
        <v>50</v>
      </c>
      <c r="E20" s="31">
        <v>1000</v>
      </c>
      <c r="F20" s="96" t="s">
        <v>51</v>
      </c>
      <c r="G20" s="95"/>
      <c r="H20" s="97" t="str">
        <f>IF(AND(C21&lt;0.15),"&lt;0.15",C21)</f>
        <v>&lt;0.15</v>
      </c>
      <c r="I20" s="98"/>
      <c r="J20" s="32" t="s">
        <v>52</v>
      </c>
    </row>
    <row r="21" spans="1:26" ht="15.75" customHeight="1" x14ac:dyDescent="0.25">
      <c r="A21" s="33" t="s">
        <v>53</v>
      </c>
      <c r="B21" s="34"/>
      <c r="C21" s="99">
        <f>C20/1000</f>
        <v>0</v>
      </c>
      <c r="D21" s="100"/>
      <c r="E21" s="35"/>
      <c r="F21" s="34"/>
      <c r="G21" s="34"/>
      <c r="H21" s="34"/>
      <c r="I21" s="34"/>
      <c r="J21" s="32"/>
    </row>
    <row r="22" spans="1:26" ht="15.75" customHeight="1" x14ac:dyDescent="0.25">
      <c r="A22" s="101" t="s">
        <v>56</v>
      </c>
      <c r="B22" s="102"/>
      <c r="C22" s="102"/>
      <c r="D22" s="102"/>
      <c r="E22" s="102"/>
      <c r="F22" s="102"/>
      <c r="G22" s="102"/>
      <c r="H22" s="102"/>
      <c r="I22" s="102"/>
      <c r="J22" s="10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4" t="s">
        <v>49</v>
      </c>
      <c r="B23" s="95"/>
      <c r="C23" s="29">
        <f>FormSampel!H15</f>
        <v>0</v>
      </c>
      <c r="D23" s="30" t="s">
        <v>50</v>
      </c>
      <c r="E23" s="36">
        <v>1000</v>
      </c>
      <c r="F23" s="96" t="s">
        <v>51</v>
      </c>
      <c r="G23" s="95"/>
      <c r="H23" s="97" t="str">
        <f>IF(C24&lt;0.15,"&lt;0.15",C24)</f>
        <v>&lt;0.15</v>
      </c>
      <c r="I23" s="98"/>
      <c r="J23" s="32" t="s">
        <v>52</v>
      </c>
    </row>
    <row r="24" spans="1:26" ht="15.75" customHeight="1" x14ac:dyDescent="0.25">
      <c r="A24" s="33" t="s">
        <v>53</v>
      </c>
      <c r="B24" s="34"/>
      <c r="C24" s="99">
        <f>C23/1000</f>
        <v>0</v>
      </c>
      <c r="D24" s="100"/>
      <c r="E24" s="35"/>
      <c r="F24" s="34"/>
      <c r="G24" s="34"/>
      <c r="H24" s="34"/>
      <c r="I24" s="34"/>
      <c r="J24" s="32"/>
    </row>
    <row r="25" spans="1:26" ht="15.75" customHeight="1" x14ac:dyDescent="0.25">
      <c r="A25" s="101" t="s">
        <v>54</v>
      </c>
      <c r="B25" s="102"/>
      <c r="C25" s="102"/>
      <c r="D25" s="102"/>
      <c r="E25" s="102"/>
      <c r="F25" s="102"/>
      <c r="G25" s="102"/>
      <c r="H25" s="102"/>
      <c r="I25" s="102"/>
      <c r="J25" s="10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4" t="s">
        <v>49</v>
      </c>
      <c r="B26" s="105"/>
      <c r="C26" s="29">
        <f>FormSampel!I15</f>
        <v>0</v>
      </c>
      <c r="D26" s="30" t="s">
        <v>50</v>
      </c>
      <c r="E26" s="36">
        <v>1000</v>
      </c>
      <c r="F26" s="106" t="s">
        <v>51</v>
      </c>
      <c r="G26" s="95"/>
      <c r="H26" s="97" t="str">
        <f>IF(AND(C27&lt;0.15),"&lt;0.15",C27)</f>
        <v>&lt;0.15</v>
      </c>
      <c r="I26" s="98"/>
      <c r="J26" s="37" t="s">
        <v>52</v>
      </c>
    </row>
    <row r="27" spans="1:26" ht="15.75" customHeight="1" x14ac:dyDescent="0.25">
      <c r="A27" s="33" t="s">
        <v>53</v>
      </c>
      <c r="B27" s="34"/>
      <c r="C27" s="107">
        <f>C26/1000</f>
        <v>0</v>
      </c>
      <c r="D27" s="108"/>
      <c r="E27" s="35"/>
      <c r="F27" s="34"/>
      <c r="G27" s="34"/>
      <c r="H27" s="34"/>
      <c r="I27" s="34"/>
      <c r="J27" s="32"/>
    </row>
    <row r="28" spans="1:26" ht="15.75" customHeight="1" x14ac:dyDescent="0.25">
      <c r="A28" s="101" t="s">
        <v>55</v>
      </c>
      <c r="B28" s="102"/>
      <c r="C28" s="102"/>
      <c r="D28" s="102"/>
      <c r="E28" s="102"/>
      <c r="F28" s="102"/>
      <c r="G28" s="102"/>
      <c r="H28" s="102"/>
      <c r="I28" s="102"/>
      <c r="J28" s="10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4" t="s">
        <v>49</v>
      </c>
      <c r="B29" s="105"/>
      <c r="C29" s="29">
        <f>FormSampel!J15</f>
        <v>0</v>
      </c>
      <c r="D29" s="30" t="s">
        <v>50</v>
      </c>
      <c r="E29" s="36">
        <v>1000</v>
      </c>
      <c r="F29" s="109" t="s">
        <v>51</v>
      </c>
      <c r="G29" s="105"/>
      <c r="H29" s="97" t="str">
        <f>IF(AND(C30&lt;0.15),"&lt;0.15",C30)</f>
        <v>&lt;0.15</v>
      </c>
      <c r="I29" s="98"/>
      <c r="J29" s="32" t="s">
        <v>52</v>
      </c>
    </row>
    <row r="30" spans="1:26" ht="15.75" customHeight="1" x14ac:dyDescent="0.25">
      <c r="A30" s="33" t="s">
        <v>53</v>
      </c>
      <c r="B30" s="34"/>
      <c r="C30" s="99">
        <f>C29/1000</f>
        <v>0</v>
      </c>
      <c r="D30" s="100"/>
      <c r="E30" s="35"/>
      <c r="F30" s="34"/>
      <c r="G30" s="34"/>
      <c r="H30" s="34"/>
      <c r="I30" s="34"/>
      <c r="J30" s="32"/>
    </row>
    <row r="31" spans="1:26" ht="15.75" customHeight="1" x14ac:dyDescent="0.25">
      <c r="A31" s="142" t="s">
        <v>57</v>
      </c>
      <c r="B31" s="11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3" t="s">
        <v>59</v>
      </c>
      <c r="C32" s="105"/>
      <c r="D32" s="105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05"/>
      <c r="C33" s="105"/>
      <c r="D33" s="105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43" t="s">
        <v>60</v>
      </c>
      <c r="C34" s="105"/>
      <c r="D34" s="105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05"/>
      <c r="C35" s="105"/>
      <c r="D35" s="105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4" t="s">
        <v>61</v>
      </c>
      <c r="B38" s="111"/>
      <c r="C38" s="111"/>
      <c r="D38" s="111"/>
      <c r="E38" s="112"/>
      <c r="F38" s="131" t="str">
        <f>FormSampel!B19</f>
        <v>PERMIT   AMIR   MAISARAH</v>
      </c>
      <c r="G38" s="132"/>
      <c r="H38" s="135">
        <f>FormSampel!B20</f>
        <v>45575</v>
      </c>
      <c r="I38" s="135"/>
      <c r="J38" s="136"/>
    </row>
    <row r="39" spans="1:26" ht="11.25" customHeight="1" x14ac:dyDescent="0.25">
      <c r="A39" s="140"/>
      <c r="B39" s="141"/>
      <c r="C39" s="141"/>
      <c r="D39" s="141"/>
      <c r="E39" s="145"/>
      <c r="F39" s="133"/>
      <c r="G39" s="134"/>
      <c r="H39" s="137"/>
      <c r="I39" s="137"/>
      <c r="J39" s="138"/>
    </row>
    <row r="40" spans="1:26" ht="15.75" customHeight="1" x14ac:dyDescent="0.25">
      <c r="A40" s="139" t="s">
        <v>62</v>
      </c>
      <c r="B40" s="111"/>
      <c r="C40" s="111"/>
      <c r="D40" s="111"/>
      <c r="E40" s="111"/>
      <c r="F40" s="27"/>
      <c r="G40" s="23"/>
      <c r="H40" s="23"/>
      <c r="I40" s="23"/>
      <c r="J40" s="16"/>
    </row>
    <row r="41" spans="1:26" ht="11.25" customHeight="1" x14ac:dyDescent="0.25">
      <c r="A41" s="140"/>
      <c r="B41" s="141"/>
      <c r="C41" s="141"/>
      <c r="D41" s="141"/>
      <c r="E41" s="14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5" t="s">
        <v>0</v>
      </c>
      <c r="B1" s="116"/>
      <c r="C1" s="116"/>
      <c r="D1" s="116"/>
      <c r="E1" s="116"/>
      <c r="F1" s="116"/>
      <c r="G1" s="116"/>
      <c r="H1" s="116"/>
      <c r="I1" s="116"/>
      <c r="J1" s="117"/>
    </row>
    <row r="2" spans="1:26" x14ac:dyDescent="0.25">
      <c r="A2" s="115" t="s">
        <v>1</v>
      </c>
      <c r="B2" s="116"/>
      <c r="C2" s="116"/>
      <c r="D2" s="116"/>
      <c r="E2" s="116"/>
      <c r="F2" s="116"/>
      <c r="G2" s="116"/>
      <c r="H2" s="116"/>
      <c r="I2" s="116"/>
      <c r="J2" s="117"/>
    </row>
    <row r="3" spans="1:26" x14ac:dyDescent="0.25">
      <c r="A3" s="118" t="s">
        <v>2</v>
      </c>
      <c r="B3" s="116"/>
      <c r="C3" s="117"/>
      <c r="D3" s="119">
        <f>FormSampel!F16</f>
        <v>0</v>
      </c>
      <c r="E3" s="116"/>
      <c r="F3" s="116"/>
      <c r="G3" s="116"/>
      <c r="H3" s="116"/>
      <c r="I3" s="116"/>
      <c r="J3" s="117"/>
    </row>
    <row r="4" spans="1:26" x14ac:dyDescent="0.25">
      <c r="A4" s="118" t="s">
        <v>3</v>
      </c>
      <c r="B4" s="116"/>
      <c r="C4" s="117"/>
      <c r="D4" s="119" t="str">
        <f>FormSampel!B2</f>
        <v>101024 (1)</v>
      </c>
      <c r="E4" s="116"/>
      <c r="F4" s="116"/>
      <c r="G4" s="116"/>
      <c r="H4" s="116"/>
      <c r="I4" s="116"/>
      <c r="J4" s="117"/>
    </row>
    <row r="5" spans="1:26" ht="15" customHeight="1" x14ac:dyDescent="0.25">
      <c r="A5" s="120" t="s">
        <v>4</v>
      </c>
      <c r="B5" s="116"/>
      <c r="C5" s="116"/>
      <c r="D5" s="116"/>
      <c r="E5" s="116"/>
      <c r="F5" s="116"/>
      <c r="G5" s="116"/>
      <c r="H5" s="116"/>
      <c r="I5" s="116"/>
      <c r="J5" s="11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0" t="s">
        <v>5</v>
      </c>
      <c r="B6" s="116"/>
      <c r="C6" s="116"/>
      <c r="D6" s="116"/>
      <c r="E6" s="116"/>
      <c r="F6" s="116"/>
      <c r="G6" s="116"/>
      <c r="H6" s="116"/>
      <c r="I6" s="116"/>
      <c r="J6" s="117"/>
    </row>
    <row r="7" spans="1:26" ht="30" customHeight="1" x14ac:dyDescent="0.25">
      <c r="A7" s="121" t="s">
        <v>6</v>
      </c>
      <c r="B7" s="111"/>
      <c r="C7" s="122" t="s">
        <v>7</v>
      </c>
      <c r="D7" s="111"/>
      <c r="E7" s="111"/>
      <c r="F7" s="42" t="s">
        <v>8</v>
      </c>
      <c r="G7" s="110" t="s">
        <v>9</v>
      </c>
      <c r="H7" s="111"/>
      <c r="I7" s="111"/>
      <c r="J7" s="112"/>
    </row>
    <row r="8" spans="1:26" ht="15" customHeight="1" x14ac:dyDescent="0.25">
      <c r="A8" s="123" t="s">
        <v>10</v>
      </c>
      <c r="B8" s="105"/>
      <c r="C8" s="124" t="s">
        <v>11</v>
      </c>
      <c r="D8" s="105"/>
      <c r="E8" s="4"/>
      <c r="F8" s="38" t="s">
        <v>12</v>
      </c>
      <c r="G8" s="6" t="s">
        <v>13</v>
      </c>
      <c r="H8" s="6" t="s">
        <v>14</v>
      </c>
      <c r="I8" s="113"/>
      <c r="J8" s="114"/>
    </row>
    <row r="9" spans="1:26" ht="30" customHeight="1" x14ac:dyDescent="0.25">
      <c r="A9" s="125" t="s">
        <v>15</v>
      </c>
      <c r="B9" s="105"/>
      <c r="C9" s="124" t="s">
        <v>16</v>
      </c>
      <c r="D9" s="105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3" t="s">
        <v>20</v>
      </c>
      <c r="B10" s="105"/>
      <c r="C10" s="124" t="s">
        <v>21</v>
      </c>
      <c r="D10" s="105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05"/>
      <c r="C11" s="128" t="s">
        <v>26</v>
      </c>
      <c r="D11" s="105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3" t="s">
        <v>30</v>
      </c>
      <c r="B12" s="105"/>
      <c r="C12" s="124" t="s">
        <v>31</v>
      </c>
      <c r="D12" s="105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3" t="s">
        <v>35</v>
      </c>
      <c r="B13" s="105"/>
      <c r="C13" s="124" t="s">
        <v>36</v>
      </c>
      <c r="D13" s="105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3" t="s">
        <v>40</v>
      </c>
      <c r="B14" s="105"/>
      <c r="C14" s="124" t="s">
        <v>41</v>
      </c>
      <c r="D14" s="105"/>
      <c r="E14" s="7"/>
      <c r="F14" s="126" t="s">
        <v>42</v>
      </c>
      <c r="G14" s="105"/>
      <c r="H14" s="105"/>
      <c r="I14" s="127" t="s">
        <v>43</v>
      </c>
      <c r="J14" s="114"/>
    </row>
    <row r="15" spans="1:26" ht="15" customHeight="1" x14ac:dyDescent="0.25">
      <c r="A15" s="123" t="s">
        <v>44</v>
      </c>
      <c r="B15" s="105"/>
      <c r="C15" s="124" t="s">
        <v>45</v>
      </c>
      <c r="D15" s="105"/>
      <c r="E15" s="7"/>
      <c r="F15" s="43" t="s">
        <v>74</v>
      </c>
      <c r="G15" s="130" t="str">
        <f>FormSampel!B14</f>
        <v>HC 16350373 - 2</v>
      </c>
      <c r="H15" s="130"/>
      <c r="I15" s="85">
        <f>FormSampel!C14</f>
        <v>45808</v>
      </c>
      <c r="J15" s="86"/>
    </row>
    <row r="16" spans="1:26" ht="15" customHeight="1" x14ac:dyDescent="0.25">
      <c r="A16" s="123" t="s">
        <v>46</v>
      </c>
      <c r="B16" s="105"/>
      <c r="C16" s="129" t="s">
        <v>47</v>
      </c>
      <c r="D16" s="105"/>
      <c r="E16" s="105"/>
      <c r="F16" s="44" t="s">
        <v>75</v>
      </c>
      <c r="G16" s="93" t="str">
        <f>FormSampel!B15</f>
        <v>HC 15161426 - 2</v>
      </c>
      <c r="H16" s="93"/>
      <c r="I16" s="85">
        <f>FormSampel!C15</f>
        <v>45716</v>
      </c>
      <c r="J16" s="8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3" t="str">
        <f>FormSampel!B16</f>
        <v>HC 14813176 - 2</v>
      </c>
      <c r="H17" s="93"/>
      <c r="I17" s="85">
        <f>FormSampel!C16</f>
        <v>45688</v>
      </c>
      <c r="J17" s="8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2" t="str">
        <f>FormSampel!B17</f>
        <v>HC 28942277 - 2</v>
      </c>
      <c r="H18" s="92"/>
      <c r="I18" s="87">
        <f>FormSampel!C17</f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94" t="s">
        <v>49</v>
      </c>
      <c r="B20" s="95"/>
      <c r="C20" s="29">
        <f>FormSampel!G16</f>
        <v>0</v>
      </c>
      <c r="D20" s="30" t="s">
        <v>50</v>
      </c>
      <c r="E20" s="31">
        <v>1000</v>
      </c>
      <c r="F20" s="96" t="s">
        <v>51</v>
      </c>
      <c r="G20" s="95"/>
      <c r="H20" s="97" t="str">
        <f>IF(AND(C21&lt;0.15),"&lt;0.15",C21)</f>
        <v>&lt;0.15</v>
      </c>
      <c r="I20" s="98"/>
      <c r="J20" s="32" t="s">
        <v>52</v>
      </c>
    </row>
    <row r="21" spans="1:26" ht="15.75" customHeight="1" x14ac:dyDescent="0.25">
      <c r="A21" s="33" t="s">
        <v>53</v>
      </c>
      <c r="B21" s="34"/>
      <c r="C21" s="99">
        <f>C20/1000</f>
        <v>0</v>
      </c>
      <c r="D21" s="100"/>
      <c r="E21" s="35"/>
      <c r="F21" s="34"/>
      <c r="G21" s="34"/>
      <c r="H21" s="34"/>
      <c r="I21" s="34"/>
      <c r="J21" s="32"/>
    </row>
    <row r="22" spans="1:26" ht="15.75" customHeight="1" x14ac:dyDescent="0.25">
      <c r="A22" s="101" t="s">
        <v>56</v>
      </c>
      <c r="B22" s="102"/>
      <c r="C22" s="102"/>
      <c r="D22" s="102"/>
      <c r="E22" s="102"/>
      <c r="F22" s="102"/>
      <c r="G22" s="102"/>
      <c r="H22" s="102"/>
      <c r="I22" s="102"/>
      <c r="J22" s="10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4" t="s">
        <v>49</v>
      </c>
      <c r="B23" s="95"/>
      <c r="C23" s="29">
        <f>FormSampel!H16</f>
        <v>0</v>
      </c>
      <c r="D23" s="30" t="s">
        <v>50</v>
      </c>
      <c r="E23" s="36">
        <v>1000</v>
      </c>
      <c r="F23" s="96" t="s">
        <v>51</v>
      </c>
      <c r="G23" s="95"/>
      <c r="H23" s="97" t="str">
        <f>IF(C24&lt;0.15,"&lt;0.15",C24)</f>
        <v>&lt;0.15</v>
      </c>
      <c r="I23" s="98"/>
      <c r="J23" s="32" t="s">
        <v>52</v>
      </c>
    </row>
    <row r="24" spans="1:26" ht="15.75" customHeight="1" x14ac:dyDescent="0.25">
      <c r="A24" s="33" t="s">
        <v>53</v>
      </c>
      <c r="B24" s="34"/>
      <c r="C24" s="99">
        <f>C23/1000</f>
        <v>0</v>
      </c>
      <c r="D24" s="100"/>
      <c r="E24" s="35"/>
      <c r="F24" s="34"/>
      <c r="G24" s="34"/>
      <c r="H24" s="34"/>
      <c r="I24" s="34"/>
      <c r="J24" s="32"/>
    </row>
    <row r="25" spans="1:26" ht="15.75" customHeight="1" x14ac:dyDescent="0.25">
      <c r="A25" s="101" t="s">
        <v>54</v>
      </c>
      <c r="B25" s="102"/>
      <c r="C25" s="102"/>
      <c r="D25" s="102"/>
      <c r="E25" s="102"/>
      <c r="F25" s="102"/>
      <c r="G25" s="102"/>
      <c r="H25" s="102"/>
      <c r="I25" s="102"/>
      <c r="J25" s="10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4" t="s">
        <v>49</v>
      </c>
      <c r="B26" s="105"/>
      <c r="C26" s="29">
        <f>FormSampel!I16</f>
        <v>0</v>
      </c>
      <c r="D26" s="30" t="s">
        <v>50</v>
      </c>
      <c r="E26" s="36">
        <v>1000</v>
      </c>
      <c r="F26" s="106" t="s">
        <v>51</v>
      </c>
      <c r="G26" s="95"/>
      <c r="H26" s="97" t="str">
        <f>IF(AND(C27&lt;0.15),"&lt;0.15",C27)</f>
        <v>&lt;0.15</v>
      </c>
      <c r="I26" s="98"/>
      <c r="J26" s="37" t="s">
        <v>52</v>
      </c>
    </row>
    <row r="27" spans="1:26" ht="15.75" customHeight="1" x14ac:dyDescent="0.25">
      <c r="A27" s="33" t="s">
        <v>53</v>
      </c>
      <c r="B27" s="34"/>
      <c r="C27" s="107">
        <f>C26/1000</f>
        <v>0</v>
      </c>
      <c r="D27" s="108"/>
      <c r="E27" s="35"/>
      <c r="F27" s="34"/>
      <c r="G27" s="34"/>
      <c r="H27" s="34"/>
      <c r="I27" s="34"/>
      <c r="J27" s="32"/>
    </row>
    <row r="28" spans="1:26" ht="15.75" customHeight="1" x14ac:dyDescent="0.25">
      <c r="A28" s="101" t="s">
        <v>55</v>
      </c>
      <c r="B28" s="102"/>
      <c r="C28" s="102"/>
      <c r="D28" s="102"/>
      <c r="E28" s="102"/>
      <c r="F28" s="102"/>
      <c r="G28" s="102"/>
      <c r="H28" s="102"/>
      <c r="I28" s="102"/>
      <c r="J28" s="10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4" t="s">
        <v>49</v>
      </c>
      <c r="B29" s="105"/>
      <c r="C29" s="29">
        <f>FormSampel!J16</f>
        <v>0</v>
      </c>
      <c r="D29" s="30" t="s">
        <v>50</v>
      </c>
      <c r="E29" s="36">
        <v>1000</v>
      </c>
      <c r="F29" s="109" t="s">
        <v>51</v>
      </c>
      <c r="G29" s="105"/>
      <c r="H29" s="97" t="str">
        <f>IF(AND(C30&lt;0.15),"&lt;0.15",C30)</f>
        <v>&lt;0.15</v>
      </c>
      <c r="I29" s="98"/>
      <c r="J29" s="32" t="s">
        <v>52</v>
      </c>
    </row>
    <row r="30" spans="1:26" ht="15.75" customHeight="1" x14ac:dyDescent="0.25">
      <c r="A30" s="33" t="s">
        <v>53</v>
      </c>
      <c r="B30" s="34"/>
      <c r="C30" s="99">
        <f>C29/1000</f>
        <v>0</v>
      </c>
      <c r="D30" s="100"/>
      <c r="E30" s="35"/>
      <c r="F30" s="34"/>
      <c r="G30" s="34"/>
      <c r="H30" s="34"/>
      <c r="I30" s="34"/>
      <c r="J30" s="32"/>
    </row>
    <row r="31" spans="1:26" ht="15.75" customHeight="1" x14ac:dyDescent="0.25">
      <c r="A31" s="142" t="s">
        <v>57</v>
      </c>
      <c r="B31" s="11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3" t="s">
        <v>59</v>
      </c>
      <c r="C32" s="105"/>
      <c r="D32" s="105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05"/>
      <c r="C33" s="105"/>
      <c r="D33" s="105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43" t="s">
        <v>60</v>
      </c>
      <c r="C34" s="105"/>
      <c r="D34" s="105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05"/>
      <c r="C35" s="105"/>
      <c r="D35" s="105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4" t="s">
        <v>61</v>
      </c>
      <c r="B38" s="111"/>
      <c r="C38" s="111"/>
      <c r="D38" s="111"/>
      <c r="E38" s="112"/>
      <c r="F38" s="131" t="str">
        <f>FormSampel!B19</f>
        <v>PERMIT   AMIR   MAISARAH</v>
      </c>
      <c r="G38" s="132"/>
      <c r="H38" s="135">
        <f>FormSampel!B20</f>
        <v>45575</v>
      </c>
      <c r="I38" s="135"/>
      <c r="J38" s="136"/>
    </row>
    <row r="39" spans="1:26" ht="11.25" customHeight="1" x14ac:dyDescent="0.25">
      <c r="A39" s="140"/>
      <c r="B39" s="141"/>
      <c r="C39" s="141"/>
      <c r="D39" s="141"/>
      <c r="E39" s="145"/>
      <c r="F39" s="133"/>
      <c r="G39" s="134"/>
      <c r="H39" s="137"/>
      <c r="I39" s="137"/>
      <c r="J39" s="138"/>
    </row>
    <row r="40" spans="1:26" ht="15.75" customHeight="1" x14ac:dyDescent="0.25">
      <c r="A40" s="139" t="s">
        <v>62</v>
      </c>
      <c r="B40" s="111"/>
      <c r="C40" s="111"/>
      <c r="D40" s="111"/>
      <c r="E40" s="111"/>
      <c r="F40" s="27"/>
      <c r="G40" s="23"/>
      <c r="H40" s="23"/>
      <c r="I40" s="23"/>
      <c r="J40" s="16"/>
    </row>
    <row r="41" spans="1:26" ht="11.25" customHeight="1" x14ac:dyDescent="0.25">
      <c r="A41" s="140"/>
      <c r="B41" s="141"/>
      <c r="C41" s="141"/>
      <c r="D41" s="141"/>
      <c r="E41" s="14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5" t="s">
        <v>0</v>
      </c>
      <c r="B1" s="116"/>
      <c r="C1" s="116"/>
      <c r="D1" s="116"/>
      <c r="E1" s="116"/>
      <c r="F1" s="116"/>
      <c r="G1" s="116"/>
      <c r="H1" s="116"/>
      <c r="I1" s="116"/>
      <c r="J1" s="117"/>
    </row>
    <row r="2" spans="1:26" x14ac:dyDescent="0.25">
      <c r="A2" s="115" t="s">
        <v>1</v>
      </c>
      <c r="B2" s="116"/>
      <c r="C2" s="116"/>
      <c r="D2" s="116"/>
      <c r="E2" s="116"/>
      <c r="F2" s="116"/>
      <c r="G2" s="116"/>
      <c r="H2" s="116"/>
      <c r="I2" s="116"/>
      <c r="J2" s="117"/>
    </row>
    <row r="3" spans="1:26" x14ac:dyDescent="0.25">
      <c r="A3" s="118" t="s">
        <v>2</v>
      </c>
      <c r="B3" s="116"/>
      <c r="C3" s="117"/>
      <c r="D3" s="119">
        <f>FormSampel!F17</f>
        <v>0</v>
      </c>
      <c r="E3" s="116"/>
      <c r="F3" s="116"/>
      <c r="G3" s="116"/>
      <c r="H3" s="116"/>
      <c r="I3" s="116"/>
      <c r="J3" s="117"/>
    </row>
    <row r="4" spans="1:26" x14ac:dyDescent="0.25">
      <c r="A4" s="118" t="s">
        <v>3</v>
      </c>
      <c r="B4" s="116"/>
      <c r="C4" s="117"/>
      <c r="D4" s="119" t="str">
        <f>FormSampel!B2</f>
        <v>101024 (1)</v>
      </c>
      <c r="E4" s="116"/>
      <c r="F4" s="116"/>
      <c r="G4" s="116"/>
      <c r="H4" s="116"/>
      <c r="I4" s="116"/>
      <c r="J4" s="117"/>
    </row>
    <row r="5" spans="1:26" ht="15" customHeight="1" x14ac:dyDescent="0.25">
      <c r="A5" s="120" t="s">
        <v>4</v>
      </c>
      <c r="B5" s="116"/>
      <c r="C5" s="116"/>
      <c r="D5" s="116"/>
      <c r="E5" s="116"/>
      <c r="F5" s="116"/>
      <c r="G5" s="116"/>
      <c r="H5" s="116"/>
      <c r="I5" s="116"/>
      <c r="J5" s="11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0" t="s">
        <v>5</v>
      </c>
      <c r="B6" s="116"/>
      <c r="C6" s="116"/>
      <c r="D6" s="116"/>
      <c r="E6" s="116"/>
      <c r="F6" s="116"/>
      <c r="G6" s="116"/>
      <c r="H6" s="116"/>
      <c r="I6" s="116"/>
      <c r="J6" s="117"/>
    </row>
    <row r="7" spans="1:26" ht="30" customHeight="1" x14ac:dyDescent="0.25">
      <c r="A7" s="121" t="s">
        <v>6</v>
      </c>
      <c r="B7" s="111"/>
      <c r="C7" s="122" t="s">
        <v>7</v>
      </c>
      <c r="D7" s="111"/>
      <c r="E7" s="111"/>
      <c r="F7" s="42" t="s">
        <v>8</v>
      </c>
      <c r="G7" s="110" t="s">
        <v>9</v>
      </c>
      <c r="H7" s="111"/>
      <c r="I7" s="111"/>
      <c r="J7" s="112"/>
    </row>
    <row r="8" spans="1:26" ht="15" customHeight="1" x14ac:dyDescent="0.25">
      <c r="A8" s="123" t="s">
        <v>10</v>
      </c>
      <c r="B8" s="105"/>
      <c r="C8" s="124" t="s">
        <v>11</v>
      </c>
      <c r="D8" s="105"/>
      <c r="E8" s="4"/>
      <c r="F8" s="38" t="s">
        <v>12</v>
      </c>
      <c r="G8" s="6" t="s">
        <v>13</v>
      </c>
      <c r="H8" s="6" t="s">
        <v>14</v>
      </c>
      <c r="I8" s="113"/>
      <c r="J8" s="114"/>
    </row>
    <row r="9" spans="1:26" ht="30" customHeight="1" x14ac:dyDescent="0.25">
      <c r="A9" s="125" t="s">
        <v>15</v>
      </c>
      <c r="B9" s="105"/>
      <c r="C9" s="124" t="s">
        <v>16</v>
      </c>
      <c r="D9" s="105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3" t="s">
        <v>20</v>
      </c>
      <c r="B10" s="105"/>
      <c r="C10" s="124" t="s">
        <v>21</v>
      </c>
      <c r="D10" s="105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05"/>
      <c r="C11" s="128" t="s">
        <v>26</v>
      </c>
      <c r="D11" s="105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3" t="s">
        <v>30</v>
      </c>
      <c r="B12" s="105"/>
      <c r="C12" s="124" t="s">
        <v>31</v>
      </c>
      <c r="D12" s="105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3" t="s">
        <v>35</v>
      </c>
      <c r="B13" s="105"/>
      <c r="C13" s="124" t="s">
        <v>36</v>
      </c>
      <c r="D13" s="105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3" t="s">
        <v>40</v>
      </c>
      <c r="B14" s="105"/>
      <c r="C14" s="124" t="s">
        <v>41</v>
      </c>
      <c r="D14" s="105"/>
      <c r="E14" s="7"/>
      <c r="F14" s="126" t="s">
        <v>42</v>
      </c>
      <c r="G14" s="105"/>
      <c r="H14" s="105"/>
      <c r="I14" s="127" t="s">
        <v>43</v>
      </c>
      <c r="J14" s="114"/>
    </row>
    <row r="15" spans="1:26" ht="15" customHeight="1" x14ac:dyDescent="0.25">
      <c r="A15" s="123" t="s">
        <v>44</v>
      </c>
      <c r="B15" s="105"/>
      <c r="C15" s="124" t="s">
        <v>45</v>
      </c>
      <c r="D15" s="105"/>
      <c r="E15" s="7"/>
      <c r="F15" s="43" t="s">
        <v>74</v>
      </c>
      <c r="G15" s="130" t="str">
        <f>FormSampel!B14</f>
        <v>HC 16350373 - 2</v>
      </c>
      <c r="H15" s="130"/>
      <c r="I15" s="85">
        <f>FormSampel!C14</f>
        <v>45808</v>
      </c>
      <c r="J15" s="86"/>
    </row>
    <row r="16" spans="1:26" ht="15" customHeight="1" x14ac:dyDescent="0.25">
      <c r="A16" s="123" t="s">
        <v>46</v>
      </c>
      <c r="B16" s="105"/>
      <c r="C16" s="129" t="s">
        <v>47</v>
      </c>
      <c r="D16" s="105"/>
      <c r="E16" s="105"/>
      <c r="F16" s="44" t="s">
        <v>75</v>
      </c>
      <c r="G16" s="93" t="str">
        <f>FormSampel!B15</f>
        <v>HC 15161426 - 2</v>
      </c>
      <c r="H16" s="93"/>
      <c r="I16" s="85">
        <f>FormSampel!C15</f>
        <v>45716</v>
      </c>
      <c r="J16" s="8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3" t="str">
        <f>FormSampel!B16</f>
        <v>HC 14813176 - 2</v>
      </c>
      <c r="H17" s="93"/>
      <c r="I17" s="85">
        <f>FormSampel!C16</f>
        <v>45688</v>
      </c>
      <c r="J17" s="8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2" t="str">
        <f>FormSampel!B17</f>
        <v>HC 28942277 - 2</v>
      </c>
      <c r="H18" s="92"/>
      <c r="I18" s="87">
        <f>FormSampel!C17</f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94" t="s">
        <v>49</v>
      </c>
      <c r="B20" s="95"/>
      <c r="C20" s="29">
        <f>FormSampel!G17</f>
        <v>0</v>
      </c>
      <c r="D20" s="30" t="s">
        <v>50</v>
      </c>
      <c r="E20" s="31">
        <v>1000</v>
      </c>
      <c r="F20" s="96" t="s">
        <v>51</v>
      </c>
      <c r="G20" s="95"/>
      <c r="H20" s="97" t="str">
        <f>IF(AND(C21&lt;0.15),"&lt;0.15",C21)</f>
        <v>&lt;0.15</v>
      </c>
      <c r="I20" s="98"/>
      <c r="J20" s="32" t="s">
        <v>52</v>
      </c>
    </row>
    <row r="21" spans="1:26" ht="15.75" customHeight="1" x14ac:dyDescent="0.25">
      <c r="A21" s="33" t="s">
        <v>53</v>
      </c>
      <c r="B21" s="34"/>
      <c r="C21" s="99">
        <f>C20/1000</f>
        <v>0</v>
      </c>
      <c r="D21" s="100"/>
      <c r="E21" s="35"/>
      <c r="F21" s="34"/>
      <c r="G21" s="34"/>
      <c r="H21" s="34"/>
      <c r="I21" s="34"/>
      <c r="J21" s="32"/>
    </row>
    <row r="22" spans="1:26" ht="15.75" customHeight="1" x14ac:dyDescent="0.25">
      <c r="A22" s="101" t="s">
        <v>56</v>
      </c>
      <c r="B22" s="102"/>
      <c r="C22" s="102"/>
      <c r="D22" s="102"/>
      <c r="E22" s="102"/>
      <c r="F22" s="102"/>
      <c r="G22" s="102"/>
      <c r="H22" s="102"/>
      <c r="I22" s="102"/>
      <c r="J22" s="10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4" t="s">
        <v>49</v>
      </c>
      <c r="B23" s="95"/>
      <c r="C23" s="29">
        <f>FormSampel!H17</f>
        <v>0</v>
      </c>
      <c r="D23" s="30" t="s">
        <v>50</v>
      </c>
      <c r="E23" s="36">
        <v>1000</v>
      </c>
      <c r="F23" s="96" t="s">
        <v>51</v>
      </c>
      <c r="G23" s="95"/>
      <c r="H23" s="97" t="str">
        <f>IF(C24&lt;0.15,"&lt;0.15",C24)</f>
        <v>&lt;0.15</v>
      </c>
      <c r="I23" s="98"/>
      <c r="J23" s="32" t="s">
        <v>52</v>
      </c>
    </row>
    <row r="24" spans="1:26" ht="15.75" customHeight="1" x14ac:dyDescent="0.25">
      <c r="A24" s="33" t="s">
        <v>53</v>
      </c>
      <c r="B24" s="34"/>
      <c r="C24" s="99">
        <f>C23/1000</f>
        <v>0</v>
      </c>
      <c r="D24" s="100"/>
      <c r="E24" s="35"/>
      <c r="F24" s="34"/>
      <c r="G24" s="34"/>
      <c r="H24" s="34"/>
      <c r="I24" s="34"/>
      <c r="J24" s="32"/>
    </row>
    <row r="25" spans="1:26" ht="15.75" customHeight="1" x14ac:dyDescent="0.25">
      <c r="A25" s="101" t="s">
        <v>54</v>
      </c>
      <c r="B25" s="102"/>
      <c r="C25" s="102"/>
      <c r="D25" s="102"/>
      <c r="E25" s="102"/>
      <c r="F25" s="102"/>
      <c r="G25" s="102"/>
      <c r="H25" s="102"/>
      <c r="I25" s="102"/>
      <c r="J25" s="10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4" t="s">
        <v>49</v>
      </c>
      <c r="B26" s="105"/>
      <c r="C26" s="29">
        <f>FormSampel!I17</f>
        <v>0</v>
      </c>
      <c r="D26" s="30" t="s">
        <v>50</v>
      </c>
      <c r="E26" s="36">
        <v>1000</v>
      </c>
      <c r="F26" s="106" t="s">
        <v>51</v>
      </c>
      <c r="G26" s="95"/>
      <c r="H26" s="97" t="str">
        <f>IF(AND(C27&lt;0.15),"&lt;0.15",C27)</f>
        <v>&lt;0.15</v>
      </c>
      <c r="I26" s="98"/>
      <c r="J26" s="37" t="s">
        <v>52</v>
      </c>
    </row>
    <row r="27" spans="1:26" ht="15.75" customHeight="1" x14ac:dyDescent="0.25">
      <c r="A27" s="33" t="s">
        <v>53</v>
      </c>
      <c r="B27" s="34"/>
      <c r="C27" s="107">
        <f>C26/1000</f>
        <v>0</v>
      </c>
      <c r="D27" s="108"/>
      <c r="E27" s="35"/>
      <c r="F27" s="34"/>
      <c r="G27" s="34"/>
      <c r="H27" s="34"/>
      <c r="I27" s="34"/>
      <c r="J27" s="32"/>
    </row>
    <row r="28" spans="1:26" ht="15.75" customHeight="1" x14ac:dyDescent="0.25">
      <c r="A28" s="101" t="s">
        <v>55</v>
      </c>
      <c r="B28" s="102"/>
      <c r="C28" s="102"/>
      <c r="D28" s="102"/>
      <c r="E28" s="102"/>
      <c r="F28" s="102"/>
      <c r="G28" s="102"/>
      <c r="H28" s="102"/>
      <c r="I28" s="102"/>
      <c r="J28" s="10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4" t="s">
        <v>49</v>
      </c>
      <c r="B29" s="105"/>
      <c r="C29" s="29">
        <f>FormSampel!J17</f>
        <v>0</v>
      </c>
      <c r="D29" s="30" t="s">
        <v>50</v>
      </c>
      <c r="E29" s="36">
        <v>1000</v>
      </c>
      <c r="F29" s="109" t="s">
        <v>51</v>
      </c>
      <c r="G29" s="105"/>
      <c r="H29" s="97" t="str">
        <f>IF(AND(C30&lt;0.15),"&lt;0.15",C30)</f>
        <v>&lt;0.15</v>
      </c>
      <c r="I29" s="98"/>
      <c r="J29" s="32" t="s">
        <v>52</v>
      </c>
    </row>
    <row r="30" spans="1:26" ht="15.75" customHeight="1" x14ac:dyDescent="0.25">
      <c r="A30" s="33" t="s">
        <v>53</v>
      </c>
      <c r="B30" s="34"/>
      <c r="C30" s="99">
        <f>C29/1000</f>
        <v>0</v>
      </c>
      <c r="D30" s="100"/>
      <c r="E30" s="35"/>
      <c r="F30" s="34"/>
      <c r="G30" s="34"/>
      <c r="H30" s="34"/>
      <c r="I30" s="34"/>
      <c r="J30" s="32"/>
    </row>
    <row r="31" spans="1:26" ht="15.75" customHeight="1" x14ac:dyDescent="0.25">
      <c r="A31" s="142" t="s">
        <v>57</v>
      </c>
      <c r="B31" s="11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3" t="s">
        <v>59</v>
      </c>
      <c r="C32" s="105"/>
      <c r="D32" s="105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05"/>
      <c r="C33" s="105"/>
      <c r="D33" s="105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43" t="s">
        <v>60</v>
      </c>
      <c r="C34" s="105"/>
      <c r="D34" s="105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05"/>
      <c r="C35" s="105"/>
      <c r="D35" s="105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4" t="s">
        <v>61</v>
      </c>
      <c r="B38" s="111"/>
      <c r="C38" s="111"/>
      <c r="D38" s="111"/>
      <c r="E38" s="112"/>
      <c r="F38" s="131" t="str">
        <f>FormSampel!B19</f>
        <v>PERMIT   AMIR   MAISARAH</v>
      </c>
      <c r="G38" s="132"/>
      <c r="H38" s="135">
        <f>FormSampel!B20</f>
        <v>45575</v>
      </c>
      <c r="I38" s="135"/>
      <c r="J38" s="136"/>
    </row>
    <row r="39" spans="1:26" ht="11.25" customHeight="1" x14ac:dyDescent="0.25">
      <c r="A39" s="140"/>
      <c r="B39" s="141"/>
      <c r="C39" s="141"/>
      <c r="D39" s="141"/>
      <c r="E39" s="145"/>
      <c r="F39" s="133"/>
      <c r="G39" s="134"/>
      <c r="H39" s="137"/>
      <c r="I39" s="137"/>
      <c r="J39" s="138"/>
    </row>
    <row r="40" spans="1:26" ht="15.75" customHeight="1" x14ac:dyDescent="0.25">
      <c r="A40" s="139" t="s">
        <v>62</v>
      </c>
      <c r="B40" s="111"/>
      <c r="C40" s="111"/>
      <c r="D40" s="111"/>
      <c r="E40" s="111"/>
      <c r="F40" s="27"/>
      <c r="G40" s="23"/>
      <c r="H40" s="23"/>
      <c r="I40" s="23"/>
      <c r="J40" s="16"/>
    </row>
    <row r="41" spans="1:26" ht="11.25" customHeight="1" x14ac:dyDescent="0.25">
      <c r="A41" s="140"/>
      <c r="B41" s="141"/>
      <c r="C41" s="141"/>
      <c r="D41" s="141"/>
      <c r="E41" s="14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F29" sqref="F29:G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5" t="s">
        <v>0</v>
      </c>
      <c r="B1" s="116"/>
      <c r="C1" s="116"/>
      <c r="D1" s="116"/>
      <c r="E1" s="116"/>
      <c r="F1" s="116"/>
      <c r="G1" s="116"/>
      <c r="H1" s="116"/>
      <c r="I1" s="116"/>
      <c r="J1" s="117"/>
    </row>
    <row r="2" spans="1:26" x14ac:dyDescent="0.25">
      <c r="A2" s="115" t="s">
        <v>1</v>
      </c>
      <c r="B2" s="116"/>
      <c r="C2" s="116"/>
      <c r="D2" s="116"/>
      <c r="E2" s="116"/>
      <c r="F2" s="116"/>
      <c r="G2" s="116"/>
      <c r="H2" s="116"/>
      <c r="I2" s="116"/>
      <c r="J2" s="117"/>
    </row>
    <row r="3" spans="1:26" x14ac:dyDescent="0.25">
      <c r="A3" s="118" t="s">
        <v>2</v>
      </c>
      <c r="B3" s="116"/>
      <c r="C3" s="117"/>
      <c r="D3" s="119">
        <f>FormSampel!F18</f>
        <v>0</v>
      </c>
      <c r="E3" s="116"/>
      <c r="F3" s="116"/>
      <c r="G3" s="116"/>
      <c r="H3" s="116"/>
      <c r="I3" s="116"/>
      <c r="J3" s="117"/>
    </row>
    <row r="4" spans="1:26" x14ac:dyDescent="0.25">
      <c r="A4" s="118" t="s">
        <v>3</v>
      </c>
      <c r="B4" s="116"/>
      <c r="C4" s="117"/>
      <c r="D4" s="119" t="str">
        <f>FormSampel!B2</f>
        <v>101024 (1)</v>
      </c>
      <c r="E4" s="116"/>
      <c r="F4" s="116"/>
      <c r="G4" s="116"/>
      <c r="H4" s="116"/>
      <c r="I4" s="116"/>
      <c r="J4" s="117"/>
    </row>
    <row r="5" spans="1:26" ht="15" customHeight="1" x14ac:dyDescent="0.25">
      <c r="A5" s="120" t="s">
        <v>4</v>
      </c>
      <c r="B5" s="116"/>
      <c r="C5" s="116"/>
      <c r="D5" s="116"/>
      <c r="E5" s="116"/>
      <c r="F5" s="116"/>
      <c r="G5" s="116"/>
      <c r="H5" s="116"/>
      <c r="I5" s="116"/>
      <c r="J5" s="11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0" t="s">
        <v>5</v>
      </c>
      <c r="B6" s="116"/>
      <c r="C6" s="116"/>
      <c r="D6" s="116"/>
      <c r="E6" s="116"/>
      <c r="F6" s="116"/>
      <c r="G6" s="116"/>
      <c r="H6" s="116"/>
      <c r="I6" s="116"/>
      <c r="J6" s="117"/>
    </row>
    <row r="7" spans="1:26" ht="30" customHeight="1" x14ac:dyDescent="0.25">
      <c r="A7" s="121" t="s">
        <v>6</v>
      </c>
      <c r="B7" s="111"/>
      <c r="C7" s="122" t="s">
        <v>7</v>
      </c>
      <c r="D7" s="111"/>
      <c r="E7" s="111"/>
      <c r="F7" s="42" t="s">
        <v>8</v>
      </c>
      <c r="G7" s="110" t="s">
        <v>9</v>
      </c>
      <c r="H7" s="111"/>
      <c r="I7" s="111"/>
      <c r="J7" s="112"/>
    </row>
    <row r="8" spans="1:26" ht="15" customHeight="1" x14ac:dyDescent="0.25">
      <c r="A8" s="123" t="s">
        <v>10</v>
      </c>
      <c r="B8" s="105"/>
      <c r="C8" s="124" t="s">
        <v>11</v>
      </c>
      <c r="D8" s="105"/>
      <c r="E8" s="4"/>
      <c r="F8" s="38" t="s">
        <v>12</v>
      </c>
      <c r="G8" s="6" t="s">
        <v>13</v>
      </c>
      <c r="H8" s="6" t="s">
        <v>14</v>
      </c>
      <c r="I8" s="113"/>
      <c r="J8" s="114"/>
    </row>
    <row r="9" spans="1:26" ht="30" customHeight="1" x14ac:dyDescent="0.25">
      <c r="A9" s="125" t="s">
        <v>15</v>
      </c>
      <c r="B9" s="105"/>
      <c r="C9" s="124" t="s">
        <v>16</v>
      </c>
      <c r="D9" s="105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3" t="s">
        <v>20</v>
      </c>
      <c r="B10" s="105"/>
      <c r="C10" s="124" t="s">
        <v>21</v>
      </c>
      <c r="D10" s="105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05"/>
      <c r="C11" s="128" t="s">
        <v>26</v>
      </c>
      <c r="D11" s="105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3" t="s">
        <v>30</v>
      </c>
      <c r="B12" s="105"/>
      <c r="C12" s="124" t="s">
        <v>31</v>
      </c>
      <c r="D12" s="105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3" t="s">
        <v>35</v>
      </c>
      <c r="B13" s="105"/>
      <c r="C13" s="124" t="s">
        <v>36</v>
      </c>
      <c r="D13" s="105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3" t="s">
        <v>40</v>
      </c>
      <c r="B14" s="105"/>
      <c r="C14" s="124" t="s">
        <v>41</v>
      </c>
      <c r="D14" s="105"/>
      <c r="E14" s="7"/>
      <c r="F14" s="126" t="s">
        <v>42</v>
      </c>
      <c r="G14" s="105"/>
      <c r="H14" s="105"/>
      <c r="I14" s="127" t="s">
        <v>43</v>
      </c>
      <c r="J14" s="114"/>
    </row>
    <row r="15" spans="1:26" ht="15" customHeight="1" x14ac:dyDescent="0.25">
      <c r="A15" s="123" t="s">
        <v>44</v>
      </c>
      <c r="B15" s="105"/>
      <c r="C15" s="124" t="s">
        <v>45</v>
      </c>
      <c r="D15" s="105"/>
      <c r="E15" s="7"/>
      <c r="F15" s="43" t="s">
        <v>74</v>
      </c>
      <c r="G15" s="130" t="str">
        <f>FormSampel!B14</f>
        <v>HC 16350373 - 2</v>
      </c>
      <c r="H15" s="130"/>
      <c r="I15" s="85">
        <f>FormSampel!C14</f>
        <v>45808</v>
      </c>
      <c r="J15" s="86"/>
    </row>
    <row r="16" spans="1:26" ht="15" customHeight="1" x14ac:dyDescent="0.25">
      <c r="A16" s="123" t="s">
        <v>46</v>
      </c>
      <c r="B16" s="105"/>
      <c r="C16" s="129" t="s">
        <v>47</v>
      </c>
      <c r="D16" s="105"/>
      <c r="E16" s="105"/>
      <c r="F16" s="44" t="s">
        <v>75</v>
      </c>
      <c r="G16" s="93" t="str">
        <f>FormSampel!B15</f>
        <v>HC 15161426 - 2</v>
      </c>
      <c r="H16" s="93"/>
      <c r="I16" s="85">
        <f>FormSampel!C15</f>
        <v>45716</v>
      </c>
      <c r="J16" s="8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3" t="str">
        <f>FormSampel!B16</f>
        <v>HC 14813176 - 2</v>
      </c>
      <c r="H17" s="93"/>
      <c r="I17" s="85">
        <f>FormSampel!C16</f>
        <v>45688</v>
      </c>
      <c r="J17" s="8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2" t="str">
        <f>FormSampel!B17</f>
        <v>HC 28942277 - 2</v>
      </c>
      <c r="H18" s="92"/>
      <c r="I18" s="87">
        <f>FormSampel!C17</f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94" t="s">
        <v>49</v>
      </c>
      <c r="B20" s="95"/>
      <c r="C20" s="29">
        <f>FormSampel!G18</f>
        <v>0</v>
      </c>
      <c r="D20" s="30" t="s">
        <v>50</v>
      </c>
      <c r="E20" s="31">
        <v>1000</v>
      </c>
      <c r="F20" s="96" t="s">
        <v>51</v>
      </c>
      <c r="G20" s="95"/>
      <c r="H20" s="97" t="str">
        <f>IF(AND(C21&lt;0.15),"&lt;0.15",C21)</f>
        <v>&lt;0.15</v>
      </c>
      <c r="I20" s="98"/>
      <c r="J20" s="32" t="s">
        <v>52</v>
      </c>
    </row>
    <row r="21" spans="1:26" ht="15.75" customHeight="1" x14ac:dyDescent="0.25">
      <c r="A21" s="33" t="s">
        <v>53</v>
      </c>
      <c r="B21" s="34"/>
      <c r="C21" s="99">
        <f>C20/1000</f>
        <v>0</v>
      </c>
      <c r="D21" s="100"/>
      <c r="E21" s="35"/>
      <c r="F21" s="34"/>
      <c r="G21" s="34"/>
      <c r="H21" s="34"/>
      <c r="I21" s="34"/>
      <c r="J21" s="32"/>
    </row>
    <row r="22" spans="1:26" ht="15.75" customHeight="1" x14ac:dyDescent="0.25">
      <c r="A22" s="101" t="s">
        <v>56</v>
      </c>
      <c r="B22" s="102"/>
      <c r="C22" s="102"/>
      <c r="D22" s="102"/>
      <c r="E22" s="102"/>
      <c r="F22" s="102"/>
      <c r="G22" s="102"/>
      <c r="H22" s="102"/>
      <c r="I22" s="102"/>
      <c r="J22" s="10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4" t="s">
        <v>49</v>
      </c>
      <c r="B23" s="95"/>
      <c r="C23" s="29">
        <f>FormSampel!H18</f>
        <v>0</v>
      </c>
      <c r="D23" s="30" t="s">
        <v>50</v>
      </c>
      <c r="E23" s="36">
        <v>1000</v>
      </c>
      <c r="F23" s="96" t="s">
        <v>51</v>
      </c>
      <c r="G23" s="95"/>
      <c r="H23" s="97" t="str">
        <f>IF(C24&lt;0.15,"&lt;0.15",C24)</f>
        <v>&lt;0.15</v>
      </c>
      <c r="I23" s="98"/>
      <c r="J23" s="32" t="s">
        <v>52</v>
      </c>
    </row>
    <row r="24" spans="1:26" ht="15.75" customHeight="1" x14ac:dyDescent="0.25">
      <c r="A24" s="33" t="s">
        <v>53</v>
      </c>
      <c r="B24" s="34"/>
      <c r="C24" s="99">
        <f>C23/1000</f>
        <v>0</v>
      </c>
      <c r="D24" s="100"/>
      <c r="E24" s="35"/>
      <c r="F24" s="34"/>
      <c r="G24" s="34"/>
      <c r="H24" s="34"/>
      <c r="I24" s="34"/>
      <c r="J24" s="32"/>
    </row>
    <row r="25" spans="1:26" ht="15.75" customHeight="1" x14ac:dyDescent="0.25">
      <c r="A25" s="101" t="s">
        <v>54</v>
      </c>
      <c r="B25" s="102"/>
      <c r="C25" s="102"/>
      <c r="D25" s="102"/>
      <c r="E25" s="102"/>
      <c r="F25" s="102"/>
      <c r="G25" s="102"/>
      <c r="H25" s="102"/>
      <c r="I25" s="102"/>
      <c r="J25" s="10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4" t="s">
        <v>49</v>
      </c>
      <c r="B26" s="105"/>
      <c r="C26" s="29">
        <f>FormSampel!I18</f>
        <v>0</v>
      </c>
      <c r="D26" s="30" t="s">
        <v>50</v>
      </c>
      <c r="E26" s="36">
        <v>1000</v>
      </c>
      <c r="F26" s="106" t="s">
        <v>51</v>
      </c>
      <c r="G26" s="95"/>
      <c r="H26" s="97" t="str">
        <f>IF(AND(C27&lt;0.15),"&lt;0.15",C27)</f>
        <v>&lt;0.15</v>
      </c>
      <c r="I26" s="98"/>
      <c r="J26" s="37" t="s">
        <v>52</v>
      </c>
    </row>
    <row r="27" spans="1:26" ht="15.75" customHeight="1" x14ac:dyDescent="0.25">
      <c r="A27" s="33" t="s">
        <v>53</v>
      </c>
      <c r="B27" s="34"/>
      <c r="C27" s="107">
        <f>C26/1000</f>
        <v>0</v>
      </c>
      <c r="D27" s="108"/>
      <c r="E27" s="35"/>
      <c r="F27" s="34"/>
      <c r="G27" s="34"/>
      <c r="H27" s="34"/>
      <c r="I27" s="34"/>
      <c r="J27" s="32"/>
    </row>
    <row r="28" spans="1:26" ht="15.75" customHeight="1" x14ac:dyDescent="0.25">
      <c r="A28" s="101" t="s">
        <v>55</v>
      </c>
      <c r="B28" s="102"/>
      <c r="C28" s="102"/>
      <c r="D28" s="102"/>
      <c r="E28" s="102"/>
      <c r="F28" s="102"/>
      <c r="G28" s="102"/>
      <c r="H28" s="102"/>
      <c r="I28" s="102"/>
      <c r="J28" s="10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4" t="s">
        <v>49</v>
      </c>
      <c r="B29" s="105"/>
      <c r="C29" s="29">
        <f>FormSampel!J18</f>
        <v>0</v>
      </c>
      <c r="D29" s="30" t="s">
        <v>50</v>
      </c>
      <c r="E29" s="36">
        <v>1000</v>
      </c>
      <c r="F29" s="109" t="s">
        <v>51</v>
      </c>
      <c r="G29" s="105"/>
      <c r="H29" s="97" t="str">
        <f>IF(AND(C30&lt;0.15),"&lt;0.15",C30)</f>
        <v>&lt;0.15</v>
      </c>
      <c r="I29" s="98"/>
      <c r="J29" s="32" t="s">
        <v>52</v>
      </c>
    </row>
    <row r="30" spans="1:26" ht="15.75" customHeight="1" x14ac:dyDescent="0.25">
      <c r="A30" s="33" t="s">
        <v>53</v>
      </c>
      <c r="B30" s="34"/>
      <c r="C30" s="99">
        <f>C29/1000</f>
        <v>0</v>
      </c>
      <c r="D30" s="100"/>
      <c r="E30" s="35"/>
      <c r="F30" s="34"/>
      <c r="G30" s="34"/>
      <c r="H30" s="34"/>
      <c r="I30" s="34"/>
      <c r="J30" s="32"/>
    </row>
    <row r="31" spans="1:26" ht="15.75" customHeight="1" x14ac:dyDescent="0.25">
      <c r="A31" s="142" t="s">
        <v>57</v>
      </c>
      <c r="B31" s="11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3" t="s">
        <v>59</v>
      </c>
      <c r="C32" s="105"/>
      <c r="D32" s="105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05"/>
      <c r="C33" s="105"/>
      <c r="D33" s="105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43" t="s">
        <v>60</v>
      </c>
      <c r="C34" s="105"/>
      <c r="D34" s="105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05"/>
      <c r="C35" s="105"/>
      <c r="D35" s="105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4" t="s">
        <v>61</v>
      </c>
      <c r="B38" s="111"/>
      <c r="C38" s="111"/>
      <c r="D38" s="111"/>
      <c r="E38" s="112"/>
      <c r="F38" s="131" t="str">
        <f>FormSampel!B19</f>
        <v>PERMIT   AMIR   MAISARAH</v>
      </c>
      <c r="G38" s="132"/>
      <c r="H38" s="135">
        <f>FormSampel!B20</f>
        <v>45575</v>
      </c>
      <c r="I38" s="135"/>
      <c r="J38" s="136"/>
    </row>
    <row r="39" spans="1:26" ht="11.25" customHeight="1" x14ac:dyDescent="0.25">
      <c r="A39" s="140"/>
      <c r="B39" s="141"/>
      <c r="C39" s="141"/>
      <c r="D39" s="141"/>
      <c r="E39" s="145"/>
      <c r="F39" s="133"/>
      <c r="G39" s="134"/>
      <c r="H39" s="137"/>
      <c r="I39" s="137"/>
      <c r="J39" s="138"/>
    </row>
    <row r="40" spans="1:26" ht="15.75" customHeight="1" x14ac:dyDescent="0.25">
      <c r="A40" s="139" t="s">
        <v>62</v>
      </c>
      <c r="B40" s="111"/>
      <c r="C40" s="111"/>
      <c r="D40" s="111"/>
      <c r="E40" s="111"/>
      <c r="F40" s="27"/>
      <c r="G40" s="23"/>
      <c r="H40" s="23"/>
      <c r="I40" s="23"/>
      <c r="J40" s="16"/>
    </row>
    <row r="41" spans="1:26" ht="11.25" customHeight="1" x14ac:dyDescent="0.25">
      <c r="A41" s="140"/>
      <c r="B41" s="141"/>
      <c r="C41" s="141"/>
      <c r="D41" s="141"/>
      <c r="E41" s="14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2024-10-11T02:05:53Z</dcterms:modified>
</cp:coreProperties>
</file>