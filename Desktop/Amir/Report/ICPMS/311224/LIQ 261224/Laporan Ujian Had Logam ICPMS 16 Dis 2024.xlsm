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311224\POW 261224\"/>
    </mc:Choice>
  </mc:AlternateContent>
  <xr:revisionPtr revIDLastSave="0" documentId="13_ncr:1_{BF5DCD87-BC92-465B-BAC4-9FE829D72A64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<sst xmlns="http://schemas.openxmlformats.org/spreadsheetml/2006/main" count="1262" uniqueCount="93">
  <si>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</si>
  <si>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</si>
  <si>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</si>
  <si>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</si>
  <si>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</si>
  <si>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</si>
  <si>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</si>
  <si>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</si>
  <si>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</si>
  <si>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</si>
  <si>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</si>
  <si>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</si>
  <si>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</si>
  <si>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</si>
  <si>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</si>
  <si>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</si>
  <si>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</si>
  <si>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</si>
  <si>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</si>
  <si>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</si>
  <si>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</si>
  <si>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</si>
  <si>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</si>
  <si>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</si>
  <si>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</si>
  <si>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</si>
  <si>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</si>
  <si>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</si>
  <si>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</si>
  <si>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</si>
  <si>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</si>
  <si>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</si>
  <si>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</si>
  <si>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</si>
  <si>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</si>
  <si>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</si>
  <si>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</si>
  <si>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</si>
  <si>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</si>
  <si>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</si>
  <si>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</si>
  <si>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</si>
  <si>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</si>
  <si>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</si>
  <si>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</si>
  <si>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</si>
  <si>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</si>
  <si>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</si>
  <si>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</si>
  <si>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</si>
  <si>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</si>
  <si>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</si>
  <si>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</si>
  <si>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</si>
  <si>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</si>
  <si>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</si>
  <si>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</si>
  <si>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</si>
  <si>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</si>
  <si>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</si>
  <si>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</si>
  <si>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</si>
  <si>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</si>
  <si>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</si>
  <si>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</si>
  <si>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</si>
  <si>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</si>
  <si>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</si>
  <si>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</si>
  <si>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</si>
  <si>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</si>
  <si>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</si>
  <si>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</si>
  <si>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</si>
  <si>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</si>
  <si>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</si>
  <si>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</si>
  <si>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</si>
  <si>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</si>
  <si>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</si>
  <si>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</si>
  <si>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</si>
  <si>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</si>
  <si>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</si>
  <si>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</si>
  <si>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</si>
  <si>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</si>
  <si>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</si>
  <si>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</si>
  <si>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</si>
  <si>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</si>
  <si>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</si>
  <si>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PERMIT / AMIR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</si>
</sst>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2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3" fillId="0" borderId="22" xfId="0" applyFont="1" applyBorder="1" applyAlignment="1">
      <alignment horizontal="left"/>
    </xf>
    <xf numFmtId="0" fontId="0" fillId="0" borderId="17" xfId="0" applyFont="1" applyBorder="1" applyAlignment="1"/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3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3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0" fillId="0" borderId="32" xfId="0" applyFont="1" applyBorder="1" applyAlignment="1"/>
    <xf numFmtId="0" fontId="15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4" fillId="8" borderId="20" xfId="0" applyFont="1" applyFill="1" applyBorder="1" applyAlignment="1"/>
    <xf numFmtId="0" fontId="14" fillId="8" borderId="19" xfId="0" applyFont="1" applyFill="1" applyBorder="1" applyAlignment="1">
      <alignment horizontal="left"/>
    </xf>
    <xf numFmtId="0" fontId="3" fillId="4" borderId="14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3" fillId="0" borderId="21" xfId="0" applyFont="1" applyBorder="1" applyAlignment="1"/>
    <xf numFmtId="0" fontId="0" fillId="0" borderId="38" xfId="0" applyFont="1" applyBorder="1" applyAlignment="1"/>
    <xf numFmtId="0" fontId="1" fillId="0" borderId="30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14" fillId="8" borderId="35" xfId="0" applyFont="1" applyFill="1" applyBorder="1" applyAlignment="1">
      <alignment horizontal="center" vertical="center"/>
    </xf>
    <xf numFmtId="0" fontId="14" fillId="8" borderId="2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6" sqref="J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3" customWidth="1"/>
    <col min="5" max="5" width="4" customWidth="1"/>
    <col min="6" max="6" width="24" style="64" customWidth="1"/>
    <col min="7" max="10" width="9.140625" style="67"/>
  </cols>
  <sheetData>
    <row r="1" spans="1:11" ht="15.75" customHeight="1" thickBot="1" x14ac:dyDescent="0.3"/>
    <row r="2" spans="1:11" ht="15.75" customHeight="1" x14ac:dyDescent="0.25">
      <c r="A2" s="74" t="s">
        <v>3</v>
      </c>
      <c r="B2" s="61">
        <v>311224</v>
      </c>
      <c r="E2" s="84" t="s">
        <v>88</v>
      </c>
      <c r="F2" s="84" t="s">
        <v>89</v>
      </c>
      <c r="G2" s="83" t="s">
        <v>90</v>
      </c>
      <c r="H2" s="83"/>
      <c r="I2" s="83"/>
      <c r="J2" s="83"/>
    </row>
    <row r="3" spans="1:11" ht="15" customHeight="1" x14ac:dyDescent="0.25">
      <c r="A3" s="92" t="s">
        <v>62</v>
      </c>
      <c r="B3" s="92"/>
      <c r="E3" s="84"/>
      <c r="F3" s="85"/>
      <c r="G3" s="68" t="s">
        <v>70</v>
      </c>
      <c r="H3" s="69" t="s">
        <v>78</v>
      </c>
      <c r="I3" s="70" t="s">
        <v>13</v>
      </c>
      <c r="J3" s="71" t="s">
        <v>71</v>
      </c>
    </row>
    <row r="4" spans="1:11" ht="15.75" customHeight="1" x14ac:dyDescent="0.25">
      <c r="A4" s="58" t="s">
        <v>63</v>
      </c>
      <c r="B4" s="46" t="b">
        <v>0</v>
      </c>
      <c r="E4" s="65">
        <v>1</v>
      </c>
      <c r="F4" s="66">
        <v>2024120022</v>
      </c>
      <c r="G4" s="72">
        <v>2.7879999999999998</v>
      </c>
      <c r="H4" s="72">
        <v>4.5629999999999997</v>
      </c>
      <c r="I4" s="72">
        <v>9.827</v>
      </c>
      <c r="J4" s="72">
        <v>319.79899999999998</v>
      </c>
      <c r="K4" s="63"/>
    </row>
    <row r="5" spans="1:11" x14ac:dyDescent="0.25">
      <c r="A5" s="80" t="s">
        <v>64</v>
      </c>
      <c r="B5" s="81" t="b">
        <v>1</v>
      </c>
      <c r="E5" s="65">
        <v>2</v>
      </c>
      <c r="F5" s="66">
        <v>2024120058</v>
      </c>
      <c r="G5" s="72">
        <v>12.823</v>
      </c>
      <c r="H5" s="72">
        <v>12.734999999999999</v>
      </c>
      <c r="I5" s="72">
        <v>5.1059999999999999</v>
      </c>
      <c r="J5" s="72">
        <v>1507.675</v>
      </c>
      <c r="K5" s="63"/>
    </row>
    <row r="6" spans="1:11" x14ac:dyDescent="0.25">
      <c r="A6" s="92" t="s">
        <v>65</v>
      </c>
      <c r="B6" s="92"/>
      <c r="E6" s="65">
        <v>3</v>
      </c>
      <c r="F6" s="66"/>
      <c r="G6" s="72"/>
      <c r="H6" s="72"/>
      <c r="I6" s="72"/>
      <c r="J6" s="72"/>
      <c r="K6" s="63"/>
    </row>
    <row r="7" spans="1:11" x14ac:dyDescent="0.25">
      <c r="A7" s="58" t="s">
        <v>66</v>
      </c>
      <c r="B7" s="59" t="b">
        <v>1</v>
      </c>
      <c r="E7" s="65">
        <v>4</v>
      </c>
      <c r="F7" s="66"/>
      <c r="G7" s="72"/>
      <c r="H7" s="72"/>
      <c r="I7" s="72"/>
      <c r="J7" s="72"/>
      <c r="K7" s="63"/>
    </row>
    <row r="8" spans="1:11" x14ac:dyDescent="0.25">
      <c r="A8" s="80" t="s">
        <v>86</v>
      </c>
      <c r="B8" s="81" t="b">
        <v>0</v>
      </c>
      <c r="E8" s="65">
        <v>5</v>
      </c>
      <c r="F8" s="66"/>
      <c r="G8" s="72"/>
      <c r="H8" s="72"/>
      <c r="I8" s="72"/>
      <c r="J8" s="72"/>
      <c r="K8" s="63"/>
    </row>
    <row r="9" spans="1:11" x14ac:dyDescent="0.25">
      <c r="A9" s="92" t="s">
        <v>67</v>
      </c>
      <c r="B9" s="92"/>
      <c r="E9" s="65">
        <v>6</v>
      </c>
      <c r="F9" s="66"/>
      <c r="G9" s="72"/>
      <c r="H9" s="72"/>
      <c r="I9" s="72"/>
      <c r="J9" s="72"/>
      <c r="K9" s="63"/>
    </row>
    <row r="10" spans="1:11" x14ac:dyDescent="0.25">
      <c r="A10" s="58" t="s">
        <v>68</v>
      </c>
      <c r="B10" s="59" t="b">
        <v>1</v>
      </c>
      <c r="E10" s="65">
        <v>7</v>
      </c>
      <c r="F10" s="66"/>
      <c r="G10" s="72"/>
      <c r="H10" s="72"/>
      <c r="I10" s="72"/>
      <c r="J10" s="72"/>
      <c r="K10" s="63"/>
    </row>
    <row r="11" spans="1:11" ht="15.75" customHeight="1" thickBot="1" x14ac:dyDescent="0.3">
      <c r="A11" s="48" t="s">
        <v>69</v>
      </c>
      <c r="B11" s="60" t="b">
        <v>0</v>
      </c>
      <c r="E11" s="65">
        <v>8</v>
      </c>
      <c r="F11" s="66"/>
      <c r="G11" s="72"/>
      <c r="H11" s="72"/>
      <c r="I11" s="72"/>
      <c r="J11" s="72"/>
      <c r="K11" s="63"/>
    </row>
    <row r="12" spans="1:11" ht="15" customHeight="1" x14ac:dyDescent="0.25">
      <c r="A12" s="86" t="s">
        <v>41</v>
      </c>
      <c r="B12" s="88" t="s">
        <v>76</v>
      </c>
      <c r="C12" s="90" t="s">
        <v>77</v>
      </c>
      <c r="E12" s="65">
        <v>9</v>
      </c>
      <c r="F12" s="66"/>
      <c r="G12" s="72"/>
      <c r="H12" s="72"/>
      <c r="I12" s="72"/>
      <c r="J12" s="72"/>
      <c r="K12" s="63"/>
    </row>
    <row r="13" spans="1:11" s="39" customFormat="1" ht="15" customHeight="1" x14ac:dyDescent="0.25">
      <c r="A13" s="87"/>
      <c r="B13" s="89"/>
      <c r="C13" s="91"/>
      <c r="D13" s="63"/>
      <c r="E13" s="65">
        <v>10</v>
      </c>
      <c r="F13" s="66"/>
      <c r="G13" s="72"/>
      <c r="H13" s="72"/>
      <c r="I13" s="72"/>
      <c r="J13" s="72"/>
      <c r="K13" s="63"/>
    </row>
    <row r="14" spans="1:11" ht="15.75" customHeight="1" x14ac:dyDescent="0.25">
      <c r="A14" s="76" t="s">
        <v>70</v>
      </c>
      <c r="B14" s="46" t="s">
        <v>79</v>
      </c>
      <c r="C14" s="51">
        <v>45808</v>
      </c>
      <c r="E14" s="65">
        <v>11</v>
      </c>
      <c r="F14" s="66"/>
      <c r="G14" s="72"/>
      <c r="H14" s="72"/>
      <c r="I14" s="72"/>
      <c r="J14" s="72"/>
      <c r="K14" s="63"/>
    </row>
    <row r="15" spans="1:11" x14ac:dyDescent="0.25">
      <c r="A15" s="77" t="s">
        <v>13</v>
      </c>
      <c r="B15" s="46" t="s">
        <v>80</v>
      </c>
      <c r="C15" s="51">
        <v>45716</v>
      </c>
      <c r="E15" s="65">
        <v>12</v>
      </c>
      <c r="F15" s="66"/>
      <c r="G15" s="72"/>
      <c r="H15" s="72"/>
      <c r="I15" s="72"/>
      <c r="J15" s="72"/>
    </row>
    <row r="16" spans="1:11" ht="15" customHeight="1" x14ac:dyDescent="0.25">
      <c r="A16" s="78" t="s">
        <v>71</v>
      </c>
      <c r="B16" s="46" t="s">
        <v>81</v>
      </c>
      <c r="C16" s="51">
        <v>45688</v>
      </c>
      <c r="E16" s="65">
        <v>13</v>
      </c>
      <c r="F16" s="66"/>
      <c r="G16" s="72"/>
      <c r="H16" s="72"/>
      <c r="I16" s="72"/>
      <c r="J16" s="72"/>
    </row>
    <row r="17" spans="1:10" ht="15.75" customHeight="1" thickBot="1" x14ac:dyDescent="0.3">
      <c r="A17" s="79" t="s">
        <v>87</v>
      </c>
      <c r="B17" s="50" t="s">
        <v>82</v>
      </c>
      <c r="C17" s="52">
        <v>46142</v>
      </c>
      <c r="E17" s="65">
        <v>14</v>
      </c>
      <c r="F17" s="66"/>
      <c r="G17" s="72"/>
      <c r="H17" s="72"/>
      <c r="I17" s="72"/>
      <c r="J17" s="72"/>
    </row>
    <row r="18" spans="1:10" ht="15" customHeight="1" x14ac:dyDescent="0.25">
      <c r="A18" s="75" t="s">
        <v>83</v>
      </c>
      <c r="B18" s="53"/>
      <c r="C18" s="54"/>
      <c r="E18" s="65">
        <v>15</v>
      </c>
      <c r="F18" s="66"/>
      <c r="G18" s="72"/>
      <c r="H18" s="72"/>
      <c r="I18" s="72"/>
      <c r="J18" s="72"/>
    </row>
    <row r="19" spans="1:10" ht="15.75" customHeight="1" x14ac:dyDescent="0.25">
      <c r="A19" s="55" t="s">
        <v>84</v>
      </c>
      <c r="B19" s="82" t="s">
        <v>92</v>
      </c>
      <c r="C19" s="56"/>
    </row>
    <row r="20" spans="1:10" ht="15.75" thickBot="1" x14ac:dyDescent="0.3">
      <c r="A20" s="49" t="s">
        <v>85</v>
      </c>
      <c r="B20" s="57">
        <v>45657</v>
      </c>
      <c r="C20" s="47"/>
    </row>
    <row r="21" spans="1:10" ht="15" customHeight="1" x14ac:dyDescent="0.25"/>
    <row r="22" spans="1:10" ht="15" customHeight="1" x14ac:dyDescent="0.25">
      <c r="B22" s="73"/>
    </row>
    <row r="23" spans="1:10" ht="15" customHeight="1" x14ac:dyDescent="0.25">
      <c r="B23" s="73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2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FormSampel!F4</f>
        <v>2024120022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5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FormSampel!G4</f>
        <v>2.7879999999999998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2.7879999999999997E-3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FormSampel!H4</f>
        <v>4.5629999999999997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4.5629999999999993E-3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FormSampel!I4</f>
        <v>9.827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9.8270000000000007E-3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FormSampel!J4</f>
        <v>319.79899999999998</v>
      </c>
      <c r="D29" s="30" t="s">
        <v>49</v>
      </c>
      <c r="E29" s="36">
        <v>1000</v>
      </c>
      <c r="F29" s="147" t="s">
        <v>50</v>
      </c>
      <c r="G29" s="109"/>
      <c r="H29" s="137">
        <f>IF(AND(C30&lt;0.15),"&lt;0.15",C30)</f>
        <v>0.319799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0.319799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154" t="str">
        <f>FormSampel!B19</f>
        <v>PERMIT / AMIR</v>
      </c>
      <c r="G38" s="155"/>
      <c r="H38" s="158">
        <f>FormSampel!B20</f>
        <v>45657</v>
      </c>
      <c r="I38" s="158"/>
      <c r="J38" s="159"/>
    </row>
    <row r="39" spans="1:26" ht="11.25" customHeight="1" x14ac:dyDescent="0.25">
      <c r="A39" s="103"/>
      <c r="B39" s="104"/>
      <c r="C39" s="104"/>
      <c r="D39" s="104"/>
      <c r="E39" s="113"/>
      <c r="F39" s="156"/>
      <c r="G39" s="157"/>
      <c r="H39" s="160"/>
      <c r="I39" s="160"/>
      <c r="J39" s="161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tabSelected="1"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FormSampel!F5</f>
        <v>2024120058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FormSampel!G5</f>
        <v>12.823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1.2823000000000001E-2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FormSampel!H5</f>
        <v>12.734999999999999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1.2735E-2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FormSampel!I5</f>
        <v>5.1059999999999999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5.1060000000000003E-3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FormSampel!J5</f>
        <v>1507.675</v>
      </c>
      <c r="D29" s="30" t="s">
        <v>49</v>
      </c>
      <c r="E29" s="36">
        <v>1000</v>
      </c>
      <c r="F29" s="147" t="s">
        <v>50</v>
      </c>
      <c r="G29" s="109"/>
      <c r="H29" s="137">
        <f>IF(AND(C30&lt;0.15),"&lt;0.15",C30)</f>
        <v>1.5076749999999999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1.5076749999999999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FormSampel!G6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FormSampel!H6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FormSampel!I6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FormSampel!J6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FormSampel!F7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FormSampel!G7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FormSampel!H7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FormSampel!I7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FormSampel!J7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FormSampel!F8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FormSampel!G8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FormSampel!H8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FormSampel!I8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FormSampel!J8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FormSampel!F9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FormSampel!G9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FormSampel!H9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FormSampel!I9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FormSampel!J9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FormSampel!F10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FormSampel!G10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FormSampel!H10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FormSampel!I10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FormSampel!J10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FormSampel!G11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FormSampel!H11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FormSampel!I11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FormSampel!J11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FormSampel!F12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FormSampel!G12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FormSampel!H12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FormSampel!I12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FormSampel!J12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FormSampel!F13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FormSampel!G13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FormSampel!H13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FormSampel!I13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FormSampel!J13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FormSampel!F14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FormSampel!G14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FormSampel!H14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FormSampel!I14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FormSampel!J14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FormSampel!F15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FormSampel!G15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FormSampel!H15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FormSampel!I15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FormSampel!J15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FormSampel!G16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FormSampel!H16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FormSampel!I16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FormSampel!J16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FormSampel!F17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FormSampel!G17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FormSampel!H17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FormSampel!I17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FormSampel!J17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FormSampel!F18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311224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91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4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5</v>
      </c>
      <c r="B7" s="102"/>
      <c r="C7" s="134" t="s">
        <v>6</v>
      </c>
      <c r="D7" s="102"/>
      <c r="E7" s="102"/>
      <c r="F7" s="42" t="s">
        <v>7</v>
      </c>
      <c r="G7" s="125" t="s">
        <v>8</v>
      </c>
      <c r="H7" s="102"/>
      <c r="I7" s="102"/>
      <c r="J7" s="112"/>
    </row>
    <row r="8" spans="1:26" ht="15" customHeight="1" x14ac:dyDescent="0.25">
      <c r="A8" s="114" t="s">
        <v>9</v>
      </c>
      <c r="B8" s="109"/>
      <c r="C8" s="115" t="s">
        <v>10</v>
      </c>
      <c r="D8" s="109"/>
      <c r="E8" s="4"/>
      <c r="F8" s="38" t="s">
        <v>11</v>
      </c>
      <c r="G8" s="6" t="s">
        <v>12</v>
      </c>
      <c r="H8" s="6" t="s">
        <v>13</v>
      </c>
      <c r="I8" s="126"/>
      <c r="J8" s="110"/>
    </row>
    <row r="9" spans="1:26" ht="30" customHeight="1" x14ac:dyDescent="0.25">
      <c r="A9" s="122" t="s">
        <v>14</v>
      </c>
      <c r="B9" s="109"/>
      <c r="C9" s="115" t="s">
        <v>15</v>
      </c>
      <c r="D9" s="109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4" t="s">
        <v>19</v>
      </c>
      <c r="B10" s="109"/>
      <c r="C10" s="115" t="s">
        <v>20</v>
      </c>
      <c r="D10" s="109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2" t="s">
        <v>24</v>
      </c>
      <c r="B11" s="109"/>
      <c r="C11" s="123" t="s">
        <v>25</v>
      </c>
      <c r="D11" s="109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4" t="s">
        <v>29</v>
      </c>
      <c r="B12" s="109"/>
      <c r="C12" s="115" t="s">
        <v>30</v>
      </c>
      <c r="D12" s="109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4" t="s">
        <v>34</v>
      </c>
      <c r="B13" s="109"/>
      <c r="C13" s="115" t="s">
        <v>35</v>
      </c>
      <c r="D13" s="109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4" t="s">
        <v>39</v>
      </c>
      <c r="B14" s="109"/>
      <c r="C14" s="115" t="s">
        <v>40</v>
      </c>
      <c r="D14" s="109"/>
      <c r="E14" s="7"/>
      <c r="F14" s="124" t="s">
        <v>41</v>
      </c>
      <c r="G14" s="109"/>
      <c r="H14" s="109"/>
      <c r="I14" s="121" t="s">
        <v>42</v>
      </c>
      <c r="J14" s="110"/>
    </row>
    <row r="15" spans="1:26" ht="15" customHeight="1" x14ac:dyDescent="0.25">
      <c r="A15" s="114" t="s">
        <v>43</v>
      </c>
      <c r="B15" s="109"/>
      <c r="C15" s="115" t="s">
        <v>44</v>
      </c>
      <c r="D15" s="109"/>
      <c r="E15" s="7"/>
      <c r="F15" s="43" t="s">
        <v>72</v>
      </c>
      <c r="G15" s="119" t="str">
        <f>FormSampel!B14</f>
        <v>HC 16350373 - 2</v>
      </c>
      <c r="H15" s="119"/>
      <c r="I15" s="116">
        <f>FormSampel!C14</f>
        <v>45808</v>
      </c>
      <c r="J15" s="117"/>
    </row>
    <row r="16" spans="1:26" ht="15" customHeight="1" x14ac:dyDescent="0.25">
      <c r="A16" s="114" t="s">
        <v>45</v>
      </c>
      <c r="B16" s="109"/>
      <c r="C16" s="118" t="s">
        <v>46</v>
      </c>
      <c r="D16" s="109"/>
      <c r="E16" s="109"/>
      <c r="F16" s="44" t="s">
        <v>73</v>
      </c>
      <c r="G16" s="120" t="str">
        <f>FormSampel!B15</f>
        <v>HC 15161426 - 2</v>
      </c>
      <c r="H16" s="120"/>
      <c r="I16" s="116">
        <f>FormSampel!C15</f>
        <v>45716</v>
      </c>
      <c r="J16" s="117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20" t="str">
        <f>FormSampel!B16</f>
        <v>HC 14813176 - 2</v>
      </c>
      <c r="H17" s="120"/>
      <c r="I17" s="116">
        <f>FormSampel!C16</f>
        <v>45688</v>
      </c>
      <c r="J17" s="1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3" t="str">
        <f>FormSampel!B17</f>
        <v>HC 28942277 - 2</v>
      </c>
      <c r="H18" s="153"/>
      <c r="I18" s="148">
        <f>FormSampel!C17</f>
        <v>46142</v>
      </c>
      <c r="J18" s="149"/>
    </row>
    <row r="19" spans="1:26" x14ac:dyDescent="0.25">
      <c r="A19" s="150" t="s">
        <v>47</v>
      </c>
      <c r="B19" s="151"/>
      <c r="C19" s="151"/>
      <c r="D19" s="151"/>
      <c r="E19" s="151"/>
      <c r="F19" s="151"/>
      <c r="G19" s="151"/>
      <c r="H19" s="151"/>
      <c r="I19" s="151"/>
      <c r="J19" s="152"/>
    </row>
    <row r="20" spans="1:26" ht="26.25" customHeight="1" x14ac:dyDescent="0.25">
      <c r="A20" s="140" t="s">
        <v>48</v>
      </c>
      <c r="B20" s="136"/>
      <c r="C20" s="29">
        <f>FormSampel!G18</f>
        <v>0</v>
      </c>
      <c r="D20" s="30" t="s">
        <v>49</v>
      </c>
      <c r="E20" s="31">
        <v>1000</v>
      </c>
      <c r="F20" s="135" t="s">
        <v>50</v>
      </c>
      <c r="G20" s="136"/>
      <c r="H20" s="137" t="str">
        <f>IF(AND(C21&lt;0.15),"&lt;0.15",C21)</f>
        <v>&lt;0.15</v>
      </c>
      <c r="I20" s="138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41" t="s">
        <v>55</v>
      </c>
      <c r="B22" s="142"/>
      <c r="C22" s="142"/>
      <c r="D22" s="142"/>
      <c r="E22" s="142"/>
      <c r="F22" s="142"/>
      <c r="G22" s="142"/>
      <c r="H22" s="142"/>
      <c r="I22" s="142"/>
      <c r="J22" s="14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0" t="s">
        <v>48</v>
      </c>
      <c r="B23" s="136"/>
      <c r="C23" s="29">
        <f>FormSampel!H18</f>
        <v>0</v>
      </c>
      <c r="D23" s="30" t="s">
        <v>49</v>
      </c>
      <c r="E23" s="36">
        <v>1000</v>
      </c>
      <c r="F23" s="135" t="s">
        <v>50</v>
      </c>
      <c r="G23" s="136"/>
      <c r="H23" s="137" t="str">
        <f>IF(C24&lt;0.15,"&lt;0.15",C24)</f>
        <v>&lt;0.15</v>
      </c>
      <c r="I23" s="138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41" t="s">
        <v>53</v>
      </c>
      <c r="B25" s="142"/>
      <c r="C25" s="142"/>
      <c r="D25" s="142"/>
      <c r="E25" s="142"/>
      <c r="F25" s="142"/>
      <c r="G25" s="142"/>
      <c r="H25" s="142"/>
      <c r="I25" s="142"/>
      <c r="J25" s="14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9" t="s">
        <v>48</v>
      </c>
      <c r="B26" s="109"/>
      <c r="C26" s="29">
        <f>FormSampel!I18</f>
        <v>0</v>
      </c>
      <c r="D26" s="30" t="s">
        <v>49</v>
      </c>
      <c r="E26" s="36">
        <v>1000</v>
      </c>
      <c r="F26" s="144" t="s">
        <v>50</v>
      </c>
      <c r="G26" s="136"/>
      <c r="H26" s="137" t="str">
        <f>IF(AND(C27&lt;0.15),"&lt;0.15",C27)</f>
        <v>&lt;0.15</v>
      </c>
      <c r="I26" s="138"/>
      <c r="J26" s="37" t="s">
        <v>51</v>
      </c>
    </row>
    <row r="27" spans="1:26" ht="15.75" customHeight="1" x14ac:dyDescent="0.25">
      <c r="A27" s="33" t="s">
        <v>52</v>
      </c>
      <c r="B27" s="34"/>
      <c r="C27" s="145">
        <f>C26/1000</f>
        <v>0</v>
      </c>
      <c r="D27" s="146"/>
      <c r="E27" s="35"/>
      <c r="F27" s="34"/>
      <c r="G27" s="34"/>
      <c r="H27" s="34"/>
      <c r="I27" s="34"/>
      <c r="J27" s="32"/>
    </row>
    <row r="28" spans="1:26" ht="15.75" customHeight="1" x14ac:dyDescent="0.25">
      <c r="A28" s="141" t="s">
        <v>54</v>
      </c>
      <c r="B28" s="142"/>
      <c r="C28" s="142"/>
      <c r="D28" s="142"/>
      <c r="E28" s="142"/>
      <c r="F28" s="142"/>
      <c r="G28" s="142"/>
      <c r="H28" s="142"/>
      <c r="I28" s="142"/>
      <c r="J28" s="14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9" t="s">
        <v>48</v>
      </c>
      <c r="B29" s="109"/>
      <c r="C29" s="29">
        <f>FormSampel!J18</f>
        <v>0</v>
      </c>
      <c r="D29" s="30" t="s">
        <v>49</v>
      </c>
      <c r="E29" s="36">
        <v>1000</v>
      </c>
      <c r="F29" s="147" t="s">
        <v>50</v>
      </c>
      <c r="G29" s="109"/>
      <c r="H29" s="137" t="str">
        <f>IF(AND(C30&lt;0.15),"&lt;0.15",C30)</f>
        <v>&lt;0.15</v>
      </c>
      <c r="I29" s="138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07" t="s">
        <v>56</v>
      </c>
      <c r="B31" s="102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8" t="s">
        <v>58</v>
      </c>
      <c r="C32" s="109"/>
      <c r="D32" s="109"/>
      <c r="E32" s="110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0"/>
      <c r="F33" s="21"/>
      <c r="G33" s="1"/>
      <c r="H33" s="1"/>
      <c r="I33" s="1"/>
      <c r="J33" s="16"/>
    </row>
    <row r="34" spans="1:26" ht="15.75" customHeight="1" x14ac:dyDescent="0.25">
      <c r="A34" s="22"/>
      <c r="B34" s="108" t="s">
        <v>59</v>
      </c>
      <c r="C34" s="109"/>
      <c r="D34" s="109"/>
      <c r="E34" s="110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1" t="s">
        <v>60</v>
      </c>
      <c r="B38" s="102"/>
      <c r="C38" s="102"/>
      <c r="D38" s="102"/>
      <c r="E38" s="112"/>
      <c r="F38" s="93" t="str">
        <f>FormSampel!B19</f>
        <v>PERMIT / AMIR</v>
      </c>
      <c r="G38" s="94"/>
      <c r="H38" s="97">
        <f>FormSampel!B20</f>
        <v>45657</v>
      </c>
      <c r="I38" s="97"/>
      <c r="J38" s="98"/>
    </row>
    <row r="39" spans="1:26" ht="11.25" customHeight="1" x14ac:dyDescent="0.25">
      <c r="A39" s="103"/>
      <c r="B39" s="104"/>
      <c r="C39" s="104"/>
      <c r="D39" s="104"/>
      <c r="E39" s="113"/>
      <c r="F39" s="95"/>
      <c r="G39" s="96"/>
      <c r="H39" s="99"/>
      <c r="I39" s="99"/>
      <c r="J39" s="100"/>
    </row>
    <row r="40" spans="1:26" ht="15.75" customHeight="1" x14ac:dyDescent="0.25">
      <c r="A40" s="101" t="s">
        <v>61</v>
      </c>
      <c r="B40" s="102"/>
      <c r="C40" s="102"/>
      <c r="D40" s="102"/>
      <c r="E40" s="102"/>
      <c r="F40" s="27"/>
      <c r="G40" s="23"/>
      <c r="H40" s="23"/>
      <c r="I40" s="23"/>
      <c r="J40" s="16"/>
    </row>
    <row r="41" spans="1:26" ht="11.25" customHeight="1" x14ac:dyDescent="0.25">
      <c r="A41" s="103"/>
      <c r="B41" s="104"/>
      <c r="C41" s="104"/>
      <c r="D41" s="104"/>
      <c r="E41" s="10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2025-01-08T07:51:11Z</cp:lastPrinted>
  <dcterms:created xsi:type="dcterms:W3CDTF">2006-09-16T00:00:00Z</dcterms:created>
  <dcterms:modified xsi:type="dcterms:W3CDTF">2025-01-08T07:52:00Z</dcterms:modified>
</cp:coreProperties>
</file>