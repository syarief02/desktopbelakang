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7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8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9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0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1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2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1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14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15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39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Amir\Report\ICPMS\First Reading - 2024070247\"/>
    </mc:Choice>
  </mc:AlternateContent>
  <xr:revisionPtr revIDLastSave="0" documentId="13_ncr:1_{A375CFFA-03CE-4D3A-B8F5-675FE11B8985}" xr6:coauthVersionLast="36" xr6:coauthVersionMax="36" xr10:uidLastSave="{00000000-0000-0000-0000-000000000000}"/>
  <bookViews>
    <workbookView xWindow="0" yWindow="0" windowWidth="28800" windowHeight="12300" activeTab="1" xr2:uid="{00000000-000D-0000-FFFF-FFFF00000000}"/>
  </bookViews>
  <sheets>
    <sheet name="FormSampel" sheetId="21" r:id="rId1"/>
    <sheet name="Sampel 1" sheetId="1" r:id="rId2"/>
    <sheet name="Sampel 2" sheetId="23" r:id="rId3"/>
    <sheet name="Sampel 3" sheetId="24" r:id="rId4"/>
    <sheet name="Sampel 4" sheetId="25" r:id="rId5"/>
    <sheet name="Sampel 5" sheetId="26" r:id="rId6"/>
    <sheet name="Sampel 6" sheetId="27" r:id="rId7"/>
    <sheet name="Sampel 7" sheetId="28" r:id="rId8"/>
    <sheet name="Sampel 8" sheetId="29" r:id="rId9"/>
    <sheet name="Sampel 9" sheetId="30" r:id="rId10"/>
    <sheet name="Sampel 10" sheetId="31" r:id="rId11"/>
    <sheet name="Sampel 11" sheetId="32" r:id="rId12"/>
    <sheet name="Sampel 12" sheetId="33" r:id="rId13"/>
    <sheet name="Sampel 13" sheetId="34" r:id="rId14"/>
    <sheet name="Sampel 14" sheetId="35" r:id="rId15"/>
    <sheet name="Sampel 15" sheetId="36" r:id="rId16"/>
  </sheets>
  <calcPr calcId="191029"/>
  <extLst>
    <ext uri="GoogleSheetsCustomDataVersion2">
      <go:sheetsCustomData xmlns:go="http://customooxmlschemas.google.com/" r:id="rId22" roundtripDataChecksum="OeDx82juqHY3uZlQVjZ5VC9zV5eEQciKrCMwgyxCCXY="/>
    </ext>
  </extLst>
</workbook>
</file>

<file path=xl/calcChain.xml><?xml version="1.0" encoding="utf-8"?>
<calcChain xmlns="http://schemas.openxmlformats.org/spreadsheetml/2006/main">
  <c r="D4" i="1" l="1"/>
  <c r="C29" i="36" l="1"/>
  <c r="C30" i="36" s="1"/>
  <c r="H29" i="36" s="1"/>
  <c r="C26" i="36"/>
  <c r="C23" i="36"/>
  <c r="C24" i="36" s="1"/>
  <c r="H23" i="36" s="1"/>
  <c r="C20" i="36"/>
  <c r="C21" i="36" s="1"/>
  <c r="H20" i="36" s="1"/>
  <c r="C27" i="36"/>
  <c r="H26" i="36" s="1"/>
  <c r="C29" i="35"/>
  <c r="C30" i="35" s="1"/>
  <c r="H29" i="35" s="1"/>
  <c r="C26" i="35"/>
  <c r="C27" i="35" s="1"/>
  <c r="H26" i="35" s="1"/>
  <c r="C23" i="35"/>
  <c r="C24" i="35" s="1"/>
  <c r="H23" i="35" s="1"/>
  <c r="C20" i="35"/>
  <c r="C21" i="35" s="1"/>
  <c r="H20" i="35" s="1"/>
  <c r="C29" i="34"/>
  <c r="C30" i="34" s="1"/>
  <c r="H29" i="34" s="1"/>
  <c r="C26" i="34"/>
  <c r="C27" i="34" s="1"/>
  <c r="H26" i="34" s="1"/>
  <c r="C23" i="34"/>
  <c r="C24" i="34" s="1"/>
  <c r="H23" i="34" s="1"/>
  <c r="C20" i="34"/>
  <c r="C21" i="34"/>
  <c r="H20" i="34" s="1"/>
  <c r="C29" i="33"/>
  <c r="C30" i="33" s="1"/>
  <c r="H29" i="33" s="1"/>
  <c r="C26" i="33"/>
  <c r="C23" i="33"/>
  <c r="C24" i="33" s="1"/>
  <c r="H23" i="33" s="1"/>
  <c r="C20" i="33"/>
  <c r="C21" i="33" s="1"/>
  <c r="H20" i="33" s="1"/>
  <c r="C27" i="33"/>
  <c r="H26" i="33" s="1"/>
  <c r="C29" i="32"/>
  <c r="C30" i="32" s="1"/>
  <c r="H29" i="32" s="1"/>
  <c r="C26" i="32"/>
  <c r="C27" i="32" s="1"/>
  <c r="H26" i="32" s="1"/>
  <c r="C23" i="32"/>
  <c r="C24" i="32" s="1"/>
  <c r="H23" i="32" s="1"/>
  <c r="C20" i="32"/>
  <c r="C21" i="32" s="1"/>
  <c r="H20" i="32" s="1"/>
  <c r="C29" i="31"/>
  <c r="C30" i="31" s="1"/>
  <c r="H29" i="31" s="1"/>
  <c r="C26" i="31"/>
  <c r="C27" i="31" s="1"/>
  <c r="H26" i="31" s="1"/>
  <c r="C23" i="31"/>
  <c r="C24" i="31" s="1"/>
  <c r="H23" i="31" s="1"/>
  <c r="C20" i="31"/>
  <c r="C21" i="31" s="1"/>
  <c r="H20" i="31" s="1"/>
  <c r="C29" i="30"/>
  <c r="C30" i="30" s="1"/>
  <c r="H29" i="30" s="1"/>
  <c r="C26" i="30"/>
  <c r="C27" i="30" s="1"/>
  <c r="H26" i="30" s="1"/>
  <c r="C23" i="30"/>
  <c r="C24" i="30" s="1"/>
  <c r="H23" i="30" s="1"/>
  <c r="C20" i="30"/>
  <c r="C21" i="30" s="1"/>
  <c r="H20" i="30" s="1"/>
  <c r="C29" i="29"/>
  <c r="C26" i="29"/>
  <c r="C23" i="29"/>
  <c r="C20" i="29"/>
  <c r="C29" i="28"/>
  <c r="C26" i="28"/>
  <c r="C23" i="28"/>
  <c r="C20" i="28"/>
  <c r="C29" i="27"/>
  <c r="C26" i="27"/>
  <c r="C23" i="27"/>
  <c r="C20" i="27"/>
  <c r="C29" i="26"/>
  <c r="C26" i="26"/>
  <c r="C23" i="26"/>
  <c r="C20" i="26"/>
  <c r="C29" i="25"/>
  <c r="C26" i="25"/>
  <c r="C23" i="25"/>
  <c r="C20" i="25"/>
  <c r="C29" i="24"/>
  <c r="C26" i="24"/>
  <c r="C23" i="24"/>
  <c r="C20" i="24"/>
  <c r="C29" i="23"/>
  <c r="C26" i="23"/>
  <c r="C23" i="23"/>
  <c r="C20" i="23"/>
  <c r="C29" i="1"/>
  <c r="C26" i="1"/>
  <c r="C23" i="1"/>
  <c r="C20" i="1"/>
  <c r="D3" i="36"/>
  <c r="D3" i="35"/>
  <c r="D3" i="34"/>
  <c r="D3" i="33"/>
  <c r="D3" i="32"/>
  <c r="D3" i="31"/>
  <c r="D3" i="30"/>
  <c r="D3" i="29"/>
  <c r="D3" i="28"/>
  <c r="D3" i="27"/>
  <c r="D3" i="26"/>
  <c r="D3" i="25"/>
  <c r="D3" i="24"/>
  <c r="D3" i="23"/>
  <c r="D3" i="1"/>
  <c r="C27" i="29" l="1"/>
  <c r="H26" i="29" s="1"/>
  <c r="C24" i="29"/>
  <c r="H23" i="29" s="1"/>
  <c r="C21" i="29"/>
  <c r="H20" i="29" s="1"/>
  <c r="C30" i="28"/>
  <c r="H29" i="28" s="1"/>
  <c r="C27" i="28"/>
  <c r="H26" i="28" s="1"/>
  <c r="C24" i="28"/>
  <c r="H23" i="28" s="1"/>
  <c r="C30" i="27"/>
  <c r="H29" i="27" s="1"/>
  <c r="C27" i="27"/>
  <c r="H26" i="27" s="1"/>
  <c r="C21" i="27"/>
  <c r="H20" i="27" s="1"/>
  <c r="C30" i="26"/>
  <c r="H29" i="26" s="1"/>
  <c r="C27" i="26"/>
  <c r="H26" i="26" s="1"/>
  <c r="C24" i="26"/>
  <c r="H23" i="26" s="1"/>
  <c r="C21" i="26"/>
  <c r="H20" i="26" s="1"/>
  <c r="C30" i="25"/>
  <c r="H29" i="25" s="1"/>
  <c r="C24" i="25"/>
  <c r="H23" i="25" s="1"/>
  <c r="C21" i="25"/>
  <c r="H20" i="25" s="1"/>
  <c r="C30" i="24"/>
  <c r="H29" i="24" s="1"/>
  <c r="C27" i="24"/>
  <c r="H26" i="24" s="1"/>
  <c r="C24" i="24"/>
  <c r="H23" i="24" s="1"/>
  <c r="C21" i="24"/>
  <c r="H20" i="24" s="1"/>
  <c r="C30" i="23"/>
  <c r="H29" i="23" s="1"/>
  <c r="C27" i="23"/>
  <c r="H26" i="23" s="1"/>
  <c r="C24" i="23"/>
  <c r="H23" i="23" s="1"/>
  <c r="C21" i="23"/>
  <c r="H20" i="23" s="1"/>
  <c r="H38" i="36"/>
  <c r="F38" i="36"/>
  <c r="I18" i="36"/>
  <c r="G18" i="36"/>
  <c r="I17" i="36"/>
  <c r="G17" i="36"/>
  <c r="I16" i="36"/>
  <c r="G16" i="36"/>
  <c r="I15" i="36"/>
  <c r="G15" i="36"/>
  <c r="D4" i="36"/>
  <c r="H38" i="35"/>
  <c r="F38" i="35"/>
  <c r="I18" i="35"/>
  <c r="G18" i="35"/>
  <c r="I17" i="35"/>
  <c r="G17" i="35"/>
  <c r="I16" i="35"/>
  <c r="G16" i="35"/>
  <c r="I15" i="35"/>
  <c r="G15" i="35"/>
  <c r="D4" i="35"/>
  <c r="H38" i="34"/>
  <c r="F38" i="34"/>
  <c r="I18" i="34"/>
  <c r="G18" i="34"/>
  <c r="I17" i="34"/>
  <c r="G17" i="34"/>
  <c r="I16" i="34"/>
  <c r="G16" i="34"/>
  <c r="I15" i="34"/>
  <c r="G15" i="34"/>
  <c r="D4" i="34"/>
  <c r="H38" i="33"/>
  <c r="F38" i="33"/>
  <c r="I18" i="33"/>
  <c r="G18" i="33"/>
  <c r="I17" i="33"/>
  <c r="G17" i="33"/>
  <c r="I16" i="33"/>
  <c r="G16" i="33"/>
  <c r="I15" i="33"/>
  <c r="G15" i="33"/>
  <c r="D4" i="33"/>
  <c r="H38" i="32"/>
  <c r="F38" i="32"/>
  <c r="I18" i="32"/>
  <c r="G18" i="32"/>
  <c r="I17" i="32"/>
  <c r="G17" i="32"/>
  <c r="I16" i="32"/>
  <c r="G16" i="32"/>
  <c r="I15" i="32"/>
  <c r="G15" i="32"/>
  <c r="D4" i="32"/>
  <c r="H38" i="31"/>
  <c r="F38" i="31"/>
  <c r="I18" i="31"/>
  <c r="G18" i="31"/>
  <c r="I17" i="31"/>
  <c r="G17" i="31"/>
  <c r="I16" i="31"/>
  <c r="G16" i="31"/>
  <c r="I15" i="31"/>
  <c r="G15" i="31"/>
  <c r="D4" i="31"/>
  <c r="H38" i="30"/>
  <c r="F38" i="30"/>
  <c r="I18" i="30"/>
  <c r="G18" i="30"/>
  <c r="I17" i="30"/>
  <c r="G17" i="30"/>
  <c r="I16" i="30"/>
  <c r="G16" i="30"/>
  <c r="I15" i="30"/>
  <c r="G15" i="30"/>
  <c r="D4" i="30"/>
  <c r="H38" i="29"/>
  <c r="F38" i="29"/>
  <c r="C30" i="29"/>
  <c r="H29" i="29" s="1"/>
  <c r="I18" i="29"/>
  <c r="G18" i="29"/>
  <c r="I17" i="29"/>
  <c r="G17" i="29"/>
  <c r="I16" i="29"/>
  <c r="G16" i="29"/>
  <c r="I15" i="29"/>
  <c r="G15" i="29"/>
  <c r="D4" i="29"/>
  <c r="H38" i="28"/>
  <c r="F38" i="28"/>
  <c r="C21" i="28"/>
  <c r="H20" i="28" s="1"/>
  <c r="I18" i="28"/>
  <c r="G18" i="28"/>
  <c r="I17" i="28"/>
  <c r="G17" i="28"/>
  <c r="I16" i="28"/>
  <c r="G16" i="28"/>
  <c r="I15" i="28"/>
  <c r="G15" i="28"/>
  <c r="D4" i="28"/>
  <c r="H38" i="27"/>
  <c r="F38" i="27"/>
  <c r="C24" i="27"/>
  <c r="H23" i="27" s="1"/>
  <c r="I18" i="27"/>
  <c r="G18" i="27"/>
  <c r="I17" i="27"/>
  <c r="G17" i="27"/>
  <c r="I16" i="27"/>
  <c r="G16" i="27"/>
  <c r="I15" i="27"/>
  <c r="G15" i="27"/>
  <c r="D4" i="27"/>
  <c r="H38" i="26"/>
  <c r="F38" i="26"/>
  <c r="I18" i="26"/>
  <c r="G18" i="26"/>
  <c r="I17" i="26"/>
  <c r="G17" i="26"/>
  <c r="I16" i="26"/>
  <c r="G16" i="26"/>
  <c r="I15" i="26"/>
  <c r="G15" i="26"/>
  <c r="D4" i="26"/>
  <c r="H38" i="25"/>
  <c r="F38" i="25"/>
  <c r="C27" i="25"/>
  <c r="H26" i="25" s="1"/>
  <c r="I18" i="25"/>
  <c r="G18" i="25"/>
  <c r="I17" i="25"/>
  <c r="G17" i="25"/>
  <c r="I16" i="25"/>
  <c r="G16" i="25"/>
  <c r="I15" i="25"/>
  <c r="G15" i="25"/>
  <c r="D4" i="25"/>
  <c r="H38" i="24"/>
  <c r="F38" i="24"/>
  <c r="I18" i="24"/>
  <c r="G18" i="24"/>
  <c r="I17" i="24"/>
  <c r="G17" i="24"/>
  <c r="I16" i="24"/>
  <c r="G16" i="24"/>
  <c r="I15" i="24"/>
  <c r="G15" i="24"/>
  <c r="D4" i="24"/>
  <c r="H38" i="23"/>
  <c r="F38" i="23"/>
  <c r="I18" i="23"/>
  <c r="G18" i="23"/>
  <c r="I17" i="23"/>
  <c r="G17" i="23"/>
  <c r="I16" i="23"/>
  <c r="G16" i="23"/>
  <c r="I15" i="23"/>
  <c r="G15" i="23"/>
  <c r="D4" i="23"/>
  <c r="H38" i="1"/>
  <c r="F38" i="1"/>
  <c r="I18" i="1"/>
  <c r="I15" i="1"/>
  <c r="I16" i="1"/>
  <c r="I17" i="1"/>
  <c r="G18" i="1"/>
  <c r="G17" i="1"/>
  <c r="G16" i="1"/>
  <c r="G15" i="1"/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<sst xmlns="http://schemas.openxmlformats.org/spreadsheetml/2006/main" count="1263" uniqueCount="94">
  <si>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</si>
  <si>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</si>
  <si>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</si>
  <si>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</si>
  <si>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</si>
  <si>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</si>
  <si>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</si>
  <si>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</si>
  <si>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</si>
  <si>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</si>
  <si>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</si>
  <si>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</si>
  <si>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</si>
  <si>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</si>
  <si>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</si>
  <si>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</si>
  <si>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</si>
  <si>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</si>
  <si>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</si>
  <si>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</si>
  <si>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</si>
  <si>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</si>
  <si>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</si>
  <si>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</si>
  <si>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</si>
  <si>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</si>
  <si>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</si>
  <si>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</si>
  <si>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</si>
  <si>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</si>
  <si>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</si>
  <si>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</si>
  <si>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</si>
  <si>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</si>
  <si>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</si>
  <si>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</si>
  <si>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</si>
  <si>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</si>
  <si>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</si>
  <si>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</si>
  <si>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</si>
  <si>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</si>
  <si>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</si>
  <si>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</si>
  <si>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</si>
  <si>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</si>
  <si>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</si>
  <si>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</si>
  <si>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</si>
  <si>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</si>
  <si>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</si>
  <si>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</si>
  <si>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</si>
  <si>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</si>
  <si>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</si>
  <si>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</si>
  <si>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</si>
  <si>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</si>
  <si>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</si>
  <si>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</si>
  <si>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</si>
  <si>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</si>
  <si>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</si>
  <si>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Equipment</t>
  </si>
  <si>
    <t xml:space="preserve">ICPMS Agilent 8800                </t>
  </si>
  <si>
    <t xml:space="preserve">             </t>
  </si>
  <si>
    <t>ICPMS Agilent 8900</t>
  </si>
  <si>
    <t>Tune method</t>
  </si>
  <si>
    <t>Helium</t>
  </si>
  <si>
    <t>Scan Type</t>
  </si>
  <si>
    <t xml:space="preserve">Single Quad (Q2)  </t>
  </si>
  <si>
    <t xml:space="preserve">Triple Quad (Q3)    </t>
  </si>
  <si>
    <t>As</t>
  </si>
  <si>
    <t>Pb</t>
  </si>
  <si>
    <t>As :</t>
  </si>
  <si>
    <t>Hg :</t>
  </si>
  <si>
    <t>Pb :</t>
  </si>
  <si>
    <t>Cd :</t>
  </si>
  <si>
    <t>No. Kelompok</t>
  </si>
  <si>
    <t>Tarikh Exp.</t>
  </si>
  <si>
    <t>Cd</t>
  </si>
  <si>
    <t>HC 16350373 - 2</t>
  </si>
  <si>
    <t>HC 15161426 - 2</t>
  </si>
  <si>
    <t>HC 14813176 - 2</t>
  </si>
  <si>
    <t>HC 28942277 - 2</t>
  </si>
  <si>
    <t>Nama dan tarikh</t>
  </si>
  <si>
    <t>Nama</t>
  </si>
  <si>
    <t>Tarikh</t>
  </si>
  <si>
    <t>Oxygen</t>
  </si>
  <si>
    <t>cd</t>
  </si>
  <si>
    <t>Bil</t>
  </si>
  <si>
    <t>No Sampel</t>
  </si>
  <si>
    <t>Elemen</t>
  </si>
  <si>
    <t>PERMIT/AMIR/MAISARAH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</si>
</sst>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41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55">
    <xf numFmtId="0" fontId="0" fillId="0" borderId="0" xfId="0" applyFont="1" applyAlignment="1"/>
    <xf numFmtId="0" fontId="6" fillId="0" borderId="0" xfId="0" applyFont="1"/>
    <xf numFmtId="0" fontId="4" fillId="0" borderId="0" xfId="0" applyFont="1" applyAlignment="1">
      <alignment vertical="center" wrapText="1"/>
    </xf>
    <xf numFmtId="0" fontId="4" fillId="0" borderId="7" xfId="0" applyFont="1" applyBorder="1" applyAlignment="1">
      <alignment vertical="center" wrapText="1"/>
    </xf>
    <xf numFmtId="1" fontId="6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horizontal="center" vertical="center" wrapText="1"/>
    </xf>
    <xf numFmtId="1" fontId="6" fillId="0" borderId="0" xfId="0" applyNumberFormat="1" applyFont="1" applyAlignment="1">
      <alignment wrapText="1"/>
    </xf>
    <xf numFmtId="0" fontId="6" fillId="0" borderId="0" xfId="0" applyFont="1" applyAlignment="1">
      <alignment horizontal="center" vertical="center" wrapText="1"/>
    </xf>
    <xf numFmtId="1" fontId="7" fillId="0" borderId="0" xfId="0" applyNumberFormat="1" applyFont="1" applyAlignment="1">
      <alignment wrapText="1"/>
    </xf>
    <xf numFmtId="1" fontId="8" fillId="0" borderId="8" xfId="0" applyNumberFormat="1" applyFont="1" applyBorder="1" applyAlignment="1">
      <alignment vertical="top" wrapText="1"/>
    </xf>
    <xf numFmtId="0" fontId="7" fillId="0" borderId="0" xfId="0" applyFont="1" applyAlignment="1">
      <alignment wrapText="1"/>
    </xf>
    <xf numFmtId="0" fontId="7" fillId="0" borderId="8" xfId="0" applyFont="1" applyBorder="1" applyAlignment="1">
      <alignment wrapText="1"/>
    </xf>
    <xf numFmtId="0" fontId="6" fillId="0" borderId="0" xfId="0" applyFont="1" applyAlignment="1">
      <alignment horizontal="left" vertical="center" wrapText="1"/>
    </xf>
    <xf numFmtId="0" fontId="4" fillId="0" borderId="7" xfId="0" applyFont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6" fillId="0" borderId="8" xfId="0" applyFont="1" applyBorder="1"/>
    <xf numFmtId="0" fontId="6" fillId="0" borderId="5" xfId="0" applyFont="1" applyBorder="1" applyAlignment="1">
      <alignment wrapText="1"/>
    </xf>
    <xf numFmtId="0" fontId="4" fillId="0" borderId="4" xfId="0" applyFont="1" applyBorder="1" applyAlignment="1">
      <alignment wrapText="1"/>
    </xf>
    <xf numFmtId="0" fontId="6" fillId="0" borderId="6" xfId="0" applyFont="1" applyBorder="1" applyAlignment="1">
      <alignment wrapText="1"/>
    </xf>
    <xf numFmtId="0" fontId="6" fillId="0" borderId="7" xfId="0" applyFont="1" applyBorder="1" applyAlignment="1">
      <alignment vertical="center" wrapText="1"/>
    </xf>
    <xf numFmtId="0" fontId="6" fillId="0" borderId="0" xfId="0" applyFont="1" applyAlignment="1">
      <alignment horizontal="center" vertical="top" wrapText="1"/>
    </xf>
    <xf numFmtId="0" fontId="6" fillId="0" borderId="7" xfId="0" applyFont="1" applyBorder="1" applyAlignment="1">
      <alignment wrapText="1"/>
    </xf>
    <xf numFmtId="0" fontId="6" fillId="0" borderId="5" xfId="0" applyFont="1" applyBorder="1"/>
    <xf numFmtId="0" fontId="6" fillId="0" borderId="11" xfId="0" applyFont="1" applyBorder="1"/>
    <xf numFmtId="0" fontId="6" fillId="0" borderId="9" xfId="0" applyFont="1" applyBorder="1"/>
    <xf numFmtId="0" fontId="6" fillId="0" borderId="10" xfId="0" applyFont="1" applyBorder="1"/>
    <xf numFmtId="0" fontId="6" fillId="0" borderId="4" xfId="0" applyFont="1" applyBorder="1"/>
    <xf numFmtId="0" fontId="6" fillId="0" borderId="0" xfId="0" applyFont="1" applyAlignment="1">
      <alignment wrapText="1"/>
    </xf>
    <xf numFmtId="164" fontId="9" fillId="4" borderId="0" xfId="0" applyNumberFormat="1" applyFont="1" applyFill="1"/>
    <xf numFmtId="164" fontId="9" fillId="0" borderId="0" xfId="0" applyNumberFormat="1" applyFont="1" applyAlignment="1">
      <alignment horizontal="center"/>
    </xf>
    <xf numFmtId="1" fontId="9" fillId="0" borderId="8" xfId="0" applyNumberFormat="1" applyFont="1" applyBorder="1" applyAlignment="1">
      <alignment horizontal="center"/>
    </xf>
    <xf numFmtId="0" fontId="9" fillId="0" borderId="8" xfId="0" applyFont="1" applyBorder="1"/>
    <xf numFmtId="0" fontId="9" fillId="0" borderId="7" xfId="0" applyFont="1" applyBorder="1" applyAlignment="1">
      <alignment horizontal="right" wrapText="1"/>
    </xf>
    <xf numFmtId="0" fontId="9" fillId="0" borderId="0" xfId="0" applyFont="1"/>
    <xf numFmtId="166" fontId="13" fillId="0" borderId="8" xfId="0" applyNumberFormat="1" applyFont="1" applyBorder="1"/>
    <xf numFmtId="1" fontId="9" fillId="0" borderId="8" xfId="0" applyNumberFormat="1" applyFont="1" applyBorder="1" applyAlignment="1">
      <alignment horizontal="center" vertical="center"/>
    </xf>
    <xf numFmtId="0" fontId="9" fillId="0" borderId="6" xfId="0" applyFont="1" applyBorder="1"/>
    <xf numFmtId="0" fontId="4" fillId="0" borderId="0" xfId="0" applyFont="1" applyAlignment="1">
      <alignment horizontal="left" vertical="center" wrapText="1"/>
    </xf>
    <xf numFmtId="0" fontId="0" fillId="0" borderId="0" xfId="0" applyFont="1" applyAlignment="1"/>
    <xf numFmtId="0" fontId="4" fillId="0" borderId="7" xfId="0" applyFont="1" applyBorder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4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1" fontId="9" fillId="0" borderId="0" xfId="0" applyNumberFormat="1" applyFont="1" applyAlignment="1">
      <alignment horizontal="center" wrapText="1"/>
    </xf>
    <xf numFmtId="1" fontId="9" fillId="0" borderId="9" xfId="0" applyNumberFormat="1" applyFont="1" applyBorder="1" applyAlignment="1">
      <alignment horizontal="center" wrapText="1"/>
    </xf>
    <xf numFmtId="0" fontId="0" fillId="0" borderId="12" xfId="0" applyFont="1" applyBorder="1" applyAlignment="1"/>
    <xf numFmtId="0" fontId="3" fillId="0" borderId="24" xfId="0" applyFont="1" applyBorder="1" applyAlignment="1"/>
    <xf numFmtId="0" fontId="0" fillId="0" borderId="25" xfId="0" applyFont="1" applyBorder="1" applyAlignment="1"/>
    <xf numFmtId="0" fontId="0" fillId="0" borderId="23" xfId="0" applyFont="1" applyBorder="1" applyAlignment="1"/>
    <xf numFmtId="0" fontId="3" fillId="0" borderId="24" xfId="0" applyFont="1" applyBorder="1" applyAlignment="1">
      <alignment horizontal="left"/>
    </xf>
    <xf numFmtId="0" fontId="0" fillId="0" borderId="18" xfId="0" applyFont="1" applyBorder="1" applyAlignment="1"/>
    <xf numFmtId="14" fontId="0" fillId="0" borderId="16" xfId="0" applyNumberFormat="1" applyFont="1" applyBorder="1" applyAlignment="1">
      <alignment horizontal="center"/>
    </xf>
    <xf numFmtId="14" fontId="0" fillId="0" borderId="19" xfId="0" applyNumberFormat="1" applyFont="1" applyBorder="1" applyAlignment="1">
      <alignment horizontal="center"/>
    </xf>
    <xf numFmtId="0" fontId="0" fillId="0" borderId="28" xfId="0" applyFont="1" applyBorder="1" applyAlignment="1"/>
    <xf numFmtId="0" fontId="0" fillId="0" borderId="29" xfId="0" applyFont="1" applyBorder="1" applyAlignment="1"/>
    <xf numFmtId="0" fontId="3" fillId="0" borderId="31" xfId="0" applyFont="1" applyBorder="1" applyAlignment="1">
      <alignment horizontal="left"/>
    </xf>
    <xf numFmtId="0" fontId="0" fillId="0" borderId="32" xfId="0" applyFont="1" applyBorder="1" applyAlignment="1"/>
    <xf numFmtId="14" fontId="0" fillId="0" borderId="34" xfId="0" applyNumberFormat="1" applyFont="1" applyBorder="1" applyAlignment="1"/>
    <xf numFmtId="0" fontId="14" fillId="5" borderId="20" xfId="0" applyFont="1" applyFill="1" applyBorder="1" applyAlignment="1">
      <alignment horizontal="left"/>
    </xf>
    <xf numFmtId="0" fontId="14" fillId="5" borderId="22" xfId="0" applyFont="1" applyFill="1" applyBorder="1" applyAlignment="1"/>
    <xf numFmtId="0" fontId="14" fillId="5" borderId="26" xfId="0" applyFont="1" applyFill="1" applyBorder="1" applyAlignment="1"/>
    <xf numFmtId="0" fontId="3" fillId="0" borderId="31" xfId="0" applyFont="1" applyBorder="1" applyAlignment="1"/>
    <xf numFmtId="0" fontId="14" fillId="5" borderId="20" xfId="0" applyFont="1" applyFill="1" applyBorder="1" applyAlignment="1"/>
    <xf numFmtId="0" fontId="0" fillId="0" borderId="13" xfId="0" applyFont="1" applyBorder="1" applyAlignment="1"/>
    <xf numFmtId="0" fontId="3" fillId="0" borderId="35" xfId="0" applyFont="1" applyBorder="1" applyAlignment="1"/>
    <xf numFmtId="0" fontId="0" fillId="0" borderId="30" xfId="0" applyFont="1" applyBorder="1" applyAlignment="1"/>
    <xf numFmtId="0" fontId="0" fillId="0" borderId="36" xfId="0" applyFont="1" applyBorder="1" applyAlignment="1"/>
    <xf numFmtId="0" fontId="0" fillId="0" borderId="35" xfId="0" applyFont="1" applyBorder="1" applyAlignment="1"/>
    <xf numFmtId="0" fontId="0" fillId="0" borderId="21" xfId="0" applyFont="1" applyBorder="1" applyAlignment="1"/>
    <xf numFmtId="0" fontId="3" fillId="0" borderId="15" xfId="0" applyFont="1" applyBorder="1" applyAlignment="1">
      <alignment horizontal="center"/>
    </xf>
    <xf numFmtId="0" fontId="15" fillId="0" borderId="0" xfId="0" applyFont="1" applyFill="1" applyAlignment="1"/>
    <xf numFmtId="0" fontId="0" fillId="0" borderId="0" xfId="0" applyFont="1" applyFill="1" applyAlignment="1"/>
    <xf numFmtId="0" fontId="2" fillId="0" borderId="15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39" xfId="0" applyFont="1" applyBorder="1" applyAlignment="1">
      <alignment horizontal="center"/>
    </xf>
    <xf numFmtId="0" fontId="0" fillId="0" borderId="12" xfId="0" applyFont="1" applyBorder="1" applyAlignment="1">
      <alignment horizontal="center"/>
    </xf>
    <xf numFmtId="164" fontId="0" fillId="0" borderId="0" xfId="0" applyNumberFormat="1" applyFont="1" applyAlignment="1"/>
    <xf numFmtId="164" fontId="0" fillId="4" borderId="40" xfId="0" applyNumberFormat="1" applyFont="1" applyFill="1" applyBorder="1" applyAlignment="1">
      <alignment horizontal="center" vertical="center"/>
    </xf>
    <xf numFmtId="164" fontId="0" fillId="6" borderId="40" xfId="0" applyNumberFormat="1" applyFont="1" applyFill="1" applyBorder="1" applyAlignment="1">
      <alignment horizontal="center" vertical="center"/>
    </xf>
    <xf numFmtId="164" fontId="0" fillId="7" borderId="40" xfId="0" applyNumberFormat="1" applyFont="1" applyFill="1" applyBorder="1" applyAlignment="1">
      <alignment horizontal="center" vertical="center"/>
    </xf>
    <xf numFmtId="164" fontId="0" fillId="8" borderId="40" xfId="0" applyNumberFormat="1" applyFont="1" applyFill="1" applyBorder="1" applyAlignment="1">
      <alignment horizontal="center" vertical="center"/>
    </xf>
    <xf numFmtId="164" fontId="0" fillId="0" borderId="12" xfId="0" applyNumberFormat="1" applyFont="1" applyBorder="1" applyAlignment="1"/>
    <xf numFmtId="0" fontId="1" fillId="0" borderId="33" xfId="0" applyFont="1" applyBorder="1" applyAlignment="1"/>
    <xf numFmtId="164" fontId="0" fillId="0" borderId="12" xfId="0" applyNumberFormat="1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0" fillId="0" borderId="40" xfId="0" applyFont="1" applyBorder="1" applyAlignment="1">
      <alignment horizontal="center" vertical="center"/>
    </xf>
    <xf numFmtId="0" fontId="14" fillId="5" borderId="14" xfId="0" applyFont="1" applyFill="1" applyBorder="1" applyAlignment="1">
      <alignment horizontal="center" vertical="center"/>
    </xf>
    <xf numFmtId="0" fontId="14" fillId="5" borderId="15" xfId="0" applyFont="1" applyFill="1" applyBorder="1" applyAlignment="1">
      <alignment horizontal="center" vertical="center"/>
    </xf>
    <xf numFmtId="0" fontId="14" fillId="5" borderId="37" xfId="0" applyFont="1" applyFill="1" applyBorder="1" applyAlignment="1">
      <alignment horizontal="center" vertical="center"/>
    </xf>
    <xf numFmtId="0" fontId="14" fillId="5" borderId="33" xfId="0" applyFont="1" applyFill="1" applyBorder="1" applyAlignment="1">
      <alignment horizontal="center" vertical="center"/>
    </xf>
    <xf numFmtId="0" fontId="14" fillId="5" borderId="38" xfId="0" applyFont="1" applyFill="1" applyBorder="1" applyAlignment="1">
      <alignment horizontal="center" vertical="center"/>
    </xf>
    <xf numFmtId="0" fontId="14" fillId="5" borderId="27" xfId="0" applyFont="1" applyFill="1" applyBorder="1" applyAlignment="1">
      <alignment horizontal="center" vertical="center"/>
    </xf>
    <xf numFmtId="49" fontId="6" fillId="0" borderId="4" xfId="0" applyNumberFormat="1" applyFont="1" applyBorder="1" applyAlignment="1">
      <alignment horizontal="center" vertical="center" shrinkToFit="1"/>
    </xf>
    <xf numFmtId="49" fontId="6" fillId="0" borderId="5" xfId="0" applyNumberFormat="1" applyFont="1" applyBorder="1" applyAlignment="1">
      <alignment horizontal="center" vertical="center" shrinkToFit="1"/>
    </xf>
    <xf numFmtId="49" fontId="6" fillId="0" borderId="11" xfId="0" applyNumberFormat="1" applyFont="1" applyBorder="1" applyAlignment="1">
      <alignment horizontal="center" vertical="center" shrinkToFit="1"/>
    </xf>
    <xf numFmtId="49" fontId="6" fillId="0" borderId="9" xfId="0" applyNumberFormat="1" applyFont="1" applyBorder="1" applyAlignment="1">
      <alignment horizontal="center" vertical="center" shrinkToFit="1"/>
    </xf>
    <xf numFmtId="167" fontId="6" fillId="0" borderId="5" xfId="0" applyNumberFormat="1" applyFont="1" applyBorder="1" applyAlignment="1">
      <alignment horizontal="center" vertical="center"/>
    </xf>
    <xf numFmtId="167" fontId="6" fillId="0" borderId="6" xfId="0" applyNumberFormat="1" applyFont="1" applyBorder="1" applyAlignment="1">
      <alignment horizontal="center" vertical="center"/>
    </xf>
    <xf numFmtId="167" fontId="6" fillId="0" borderId="9" xfId="0" applyNumberFormat="1" applyFont="1" applyBorder="1" applyAlignment="1">
      <alignment horizontal="center" vertical="center"/>
    </xf>
    <xf numFmtId="167" fontId="6" fillId="0" borderId="10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5" fillId="0" borderId="5" xfId="0" applyFont="1" applyBorder="1"/>
    <xf numFmtId="0" fontId="5" fillId="0" borderId="11" xfId="0" applyFont="1" applyBorder="1"/>
    <xf numFmtId="0" fontId="5" fillId="0" borderId="9" xfId="0" applyFont="1" applyBorder="1"/>
    <xf numFmtId="165" fontId="12" fillId="0" borderId="1" xfId="0" applyNumberFormat="1" applyFont="1" applyBorder="1" applyAlignment="1">
      <alignment horizontal="center"/>
    </xf>
    <xf numFmtId="0" fontId="11" fillId="0" borderId="3" xfId="0" applyFont="1" applyBorder="1"/>
    <xf numFmtId="0" fontId="4" fillId="0" borderId="4" xfId="0" applyFont="1" applyBorder="1" applyAlignment="1">
      <alignment horizontal="left" wrapText="1"/>
    </xf>
    <xf numFmtId="0" fontId="4" fillId="0" borderId="0" xfId="0" applyFont="1" applyAlignment="1">
      <alignment horizontal="left" vertical="center" wrapText="1"/>
    </xf>
    <xf numFmtId="0" fontId="0" fillId="0" borderId="0" xfId="0" applyFont="1" applyAlignment="1"/>
    <xf numFmtId="0" fontId="5" fillId="0" borderId="8" xfId="0" applyFont="1" applyBorder="1"/>
    <xf numFmtId="0" fontId="4" fillId="0" borderId="4" xfId="0" applyFont="1" applyBorder="1" applyAlignment="1">
      <alignment horizontal="center" vertical="center"/>
    </xf>
    <xf numFmtId="0" fontId="5" fillId="0" borderId="6" xfId="0" applyFont="1" applyBorder="1"/>
    <xf numFmtId="0" fontId="5" fillId="0" borderId="10" xfId="0" applyFont="1" applyBorder="1"/>
    <xf numFmtId="0" fontId="4" fillId="0" borderId="7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167" fontId="10" fillId="0" borderId="0" xfId="0" applyNumberFormat="1" applyFont="1" applyAlignment="1">
      <alignment horizontal="center" wrapText="1"/>
    </xf>
    <xf numFmtId="167" fontId="10" fillId="0" borderId="8" xfId="0" applyNumberFormat="1" applyFont="1" applyBorder="1" applyAlignment="1">
      <alignment horizontal="center" wrapText="1"/>
    </xf>
    <xf numFmtId="0" fontId="6" fillId="0" borderId="0" xfId="0" applyFont="1" applyAlignment="1">
      <alignment horizontal="left" vertical="center" wrapText="1"/>
    </xf>
    <xf numFmtId="0" fontId="9" fillId="0" borderId="0" xfId="0" applyFont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7" fillId="0" borderId="0" xfId="0" applyFont="1" applyAlignment="1">
      <alignment horizontal="left" wrapText="1"/>
    </xf>
    <xf numFmtId="0" fontId="12" fillId="0" borderId="7" xfId="0" applyFont="1" applyBorder="1" applyAlignment="1">
      <alignment vertical="center" wrapText="1"/>
    </xf>
    <xf numFmtId="0" fontId="9" fillId="0" borderId="0" xfId="0" applyFont="1" applyAlignment="1">
      <alignment vertical="center" wrapText="1"/>
    </xf>
    <xf numFmtId="0" fontId="12" fillId="0" borderId="0" xfId="0" applyFont="1" applyAlignment="1">
      <alignment vertical="center" wrapText="1"/>
    </xf>
    <xf numFmtId="0" fontId="6" fillId="0" borderId="5" xfId="0" applyFont="1" applyBorder="1" applyAlignment="1">
      <alignment horizontal="left" vertical="center" wrapText="1"/>
    </xf>
    <xf numFmtId="1" fontId="7" fillId="0" borderId="0" xfId="0" applyNumberFormat="1" applyFont="1" applyAlignment="1">
      <alignment horizontal="center" wrapText="1"/>
    </xf>
    <xf numFmtId="0" fontId="4" fillId="0" borderId="1" xfId="0" applyFont="1" applyBorder="1" applyAlignment="1">
      <alignment horizontal="center"/>
    </xf>
    <xf numFmtId="0" fontId="5" fillId="0" borderId="2" xfId="0" applyFont="1" applyBorder="1"/>
    <xf numFmtId="0" fontId="5" fillId="0" borderId="3" xfId="0" applyFont="1" applyBorder="1"/>
    <xf numFmtId="0" fontId="4" fillId="0" borderId="1" xfId="0" applyFont="1" applyBorder="1" applyAlignment="1">
      <alignment horizontal="left" wrapText="1"/>
    </xf>
    <xf numFmtId="1" fontId="6" fillId="2" borderId="1" xfId="0" applyNumberFormat="1" applyFont="1" applyFill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0" fontId="12" fillId="0" borderId="4" xfId="0" applyFont="1" applyBorder="1" applyAlignment="1">
      <alignment vertical="center" wrapText="1"/>
    </xf>
    <xf numFmtId="0" fontId="9" fillId="0" borderId="5" xfId="0" applyFont="1" applyBorder="1" applyAlignment="1">
      <alignment vertical="center" wrapText="1"/>
    </xf>
    <xf numFmtId="0" fontId="9" fillId="0" borderId="4" xfId="0" applyFont="1" applyBorder="1" applyAlignment="1">
      <alignment horizontal="center"/>
    </xf>
    <xf numFmtId="0" fontId="11" fillId="0" borderId="5" xfId="0" applyFont="1" applyBorder="1"/>
    <xf numFmtId="2" fontId="9" fillId="0" borderId="2" xfId="0" applyNumberFormat="1" applyFont="1" applyBorder="1" applyAlignment="1">
      <alignment horizontal="center"/>
    </xf>
    <xf numFmtId="0" fontId="11" fillId="0" borderId="2" xfId="0" applyFont="1" applyBorder="1"/>
    <xf numFmtId="0" fontId="10" fillId="0" borderId="7" xfId="0" applyFont="1" applyBorder="1" applyAlignment="1">
      <alignment horizontal="center" vertical="top" wrapText="1"/>
    </xf>
    <xf numFmtId="0" fontId="10" fillId="0" borderId="4" xfId="0" applyFont="1" applyBorder="1" applyAlignment="1">
      <alignment horizontal="center" vertical="top" wrapText="1"/>
    </xf>
    <xf numFmtId="0" fontId="12" fillId="3" borderId="1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0" fontId="12" fillId="3" borderId="3" xfId="0" applyFont="1" applyFill="1" applyBorder="1" applyAlignment="1">
      <alignment horizontal="center"/>
    </xf>
    <xf numFmtId="0" fontId="9" fillId="0" borderId="5" xfId="0" applyFont="1" applyBorder="1" applyAlignment="1">
      <alignment horizontal="center"/>
    </xf>
    <xf numFmtId="165" fontId="12" fillId="0" borderId="4" xfId="0" applyNumberFormat="1" applyFont="1" applyBorder="1" applyAlignment="1">
      <alignment horizontal="center"/>
    </xf>
    <xf numFmtId="0" fontId="11" fillId="0" borderId="6" xfId="0" applyFont="1" applyBorder="1"/>
    <xf numFmtId="0" fontId="9" fillId="0" borderId="0" xfId="0" applyFont="1" applyAlignment="1">
      <alignment horizontal="center"/>
    </xf>
    <xf numFmtId="167" fontId="10" fillId="0" borderId="9" xfId="0" applyNumberFormat="1" applyFont="1" applyBorder="1" applyAlignment="1">
      <alignment horizontal="center" wrapText="1"/>
    </xf>
    <xf numFmtId="167" fontId="10" fillId="0" borderId="10" xfId="0" applyNumberFormat="1" applyFont="1" applyBorder="1" applyAlignment="1">
      <alignment horizontal="center" wrapText="1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11" fillId="0" borderId="9" xfId="0" applyFont="1" applyBorder="1" applyAlignment="1">
      <alignment horizontal="center"/>
    </xf>
  </cellXfs>
  <cellStyles count="1">
    <cellStyle name="Normal" xfId="0" builtinId="0"/>
  </cellStyles>
  <dxfs count="2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customschemas.google.com/relationships/workbookmetadata" Target="metadata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fmlaLink="FormSampel!$B$4" lockText="1" noThreeD="1"/>
</file>

<file path=xl/ctrlProps/ctrlProp2.xml><?xml version="1.0" encoding="utf-8"?>
<formControlPr xmlns="http://schemas.microsoft.com/office/spreadsheetml/2009/9/main" objectType="CheckBox" fmlaLink="FormSampel!$B$5" lockText="1" noThreeD="1"/>
</file>

<file path=xl/ctrlProps/ctrlProp3.xml><?xml version="1.0" encoding="utf-8"?>
<formControlPr xmlns="http://schemas.microsoft.com/office/spreadsheetml/2009/9/main" objectType="CheckBox" fmlaLink="FormSampel!$B$8" lockText="1" noThreeD="1"/>
</file>

<file path=xl/ctrlProps/ctrlProp4.xml><?xml version="1.0" encoding="utf-8"?>
<formControlPr xmlns="http://schemas.microsoft.com/office/spreadsheetml/2009/9/main" objectType="CheckBox" checked="Checked" fmlaLink="FormSampel!$B$7" lockText="1" noThreeD="1"/>
</file>

<file path=xl/ctrlProps/ctrlProp5.xml><?xml version="1.0" encoding="utf-8"?>
<formControlPr xmlns="http://schemas.microsoft.com/office/spreadsheetml/2009/9/main" objectType="CheckBox" fmlaLink="FormSampel!$B$11" lockText="1" noThreeD="1"/>
</file>

<file path=xl/ctrlProps/ctrlProp6.xml><?xml version="1.0" encoding="utf-8"?>
<formControlPr xmlns="http://schemas.microsoft.com/office/spreadsheetml/2009/9/main" objectType="CheckBox" checked="Checked" fmlaLink="FormSampel!$B$10" lockText="1" noThreeD="1"/>
</file>

<file path=xl/ctrlProps/ctrlProp7.xml><?xml version="1.0" encoding="utf-8"?>
<formControlPr xmlns="http://schemas.microsoft.com/office/spreadsheetml/2009/9/main" objectType="CheckBox" checked="Checked" fmlaLink="FormSampel!$B$4" lockText="1" noThreeD="1"/>
</file>

<file path=xl/ctrlProps/ctrlProp8.xml><?xml version="1.0" encoding="utf-8"?>
<formControlPr xmlns="http://schemas.microsoft.com/office/spreadsheetml/2009/9/main" objectType="CheckBox" fmlaLink="FormSampel!$B$5" lockText="1" noThreeD="1"/>
</file>

<file path=xl/ctrlProps/ctrlProp9.xml><?xml version="1.0" encoding="utf-8"?>
<formControlPr xmlns="http://schemas.microsoft.com/office/spreadsheetml/2009/9/main" objectType="CheckBox" fmlaLink="FormSampel!$B$8" lockText="1" noThreeD="1"/>
</file>

<file path=xl/ctrlProps/ctrlProp10.xml><?xml version="1.0" encoding="utf-8"?>
<formControlPr xmlns="http://schemas.microsoft.com/office/spreadsheetml/2009/9/main" objectType="CheckBox" checked="Checked" fmlaLink="FormSampel!$B$7" lockText="1" noThreeD="1"/>
</file>

<file path=xl/ctrlProps/ctrlProp11.xml><?xml version="1.0" encoding="utf-8"?>
<formControlPr xmlns="http://schemas.microsoft.com/office/spreadsheetml/2009/9/main" objectType="CheckBox" fmlaLink="FormSampel!$B$11" lockText="1" noThreeD="1"/>
</file>

<file path=xl/ctrlProps/ctrlProp12.xml><?xml version="1.0" encoding="utf-8"?>
<formControlPr xmlns="http://schemas.microsoft.com/office/spreadsheetml/2009/9/main" objectType="CheckBox" checked="Checked" fmlaLink="FormSampel!$B$10" lockText="1" noThreeD="1"/>
</file>

<file path=xl/ctrlProps/ctrlProp13.xml><?xml version="1.0" encoding="utf-8"?>
<formControlPr xmlns="http://schemas.microsoft.com/office/spreadsheetml/2009/9/main" objectType="CheckBox" checked="Checked" fmlaLink="FormSampel!$B$4" lockText="1" noThreeD="1"/>
</file>

<file path=xl/ctrlProps/ctrlProp14.xml><?xml version="1.0" encoding="utf-8"?>
<formControlPr xmlns="http://schemas.microsoft.com/office/spreadsheetml/2009/9/main" objectType="CheckBox" fmlaLink="FormSampel!$B$5" lockText="1" noThreeD="1"/>
</file>

<file path=xl/ctrlProps/ctrlProp15.xml><?xml version="1.0" encoding="utf-8"?>
<formControlPr xmlns="http://schemas.microsoft.com/office/spreadsheetml/2009/9/main" objectType="CheckBox" fmlaLink="FormSampel!$B$8" lockText="1" noThreeD="1"/>
</file>

<file path=xl/ctrlProps/ctrlProp16.xml><?xml version="1.0" encoding="utf-8"?>
<formControlPr xmlns="http://schemas.microsoft.com/office/spreadsheetml/2009/9/main" objectType="CheckBox" checked="Checked" fmlaLink="FormSampel!$B$7" lockText="1" noThreeD="1"/>
</file>

<file path=xl/ctrlProps/ctrlProp17.xml><?xml version="1.0" encoding="utf-8"?>
<formControlPr xmlns="http://schemas.microsoft.com/office/spreadsheetml/2009/9/main" objectType="CheckBox" fmlaLink="FormSampel!$B$11" lockText="1" noThreeD="1"/>
</file>

<file path=xl/ctrlProps/ctrlProp18.xml><?xml version="1.0" encoding="utf-8"?>
<formControlPr xmlns="http://schemas.microsoft.com/office/spreadsheetml/2009/9/main" objectType="CheckBox" checked="Checked" fmlaLink="FormSampel!$B$10" lockText="1" noThreeD="1"/>
</file>

<file path=xl/ctrlProps/ctrlProp19.xml><?xml version="1.0" encoding="utf-8"?>
<formControlPr xmlns="http://schemas.microsoft.com/office/spreadsheetml/2009/9/main" objectType="CheckBox" checked="Checked" fmlaLink="FormSampel!$B$4" lockText="1" noThreeD="1"/>
</file>

<file path=xl/ctrlProps/ctrlProp20.xml><?xml version="1.0" encoding="utf-8"?>
<formControlPr xmlns="http://schemas.microsoft.com/office/spreadsheetml/2009/9/main" objectType="CheckBox" fmlaLink="FormSampel!$B$5" lockText="1" noThreeD="1"/>
</file>

<file path=xl/ctrlProps/ctrlProp21.xml><?xml version="1.0" encoding="utf-8"?>
<formControlPr xmlns="http://schemas.microsoft.com/office/spreadsheetml/2009/9/main" objectType="CheckBox" fmlaLink="FormSampel!$B$8" lockText="1" noThreeD="1"/>
</file>

<file path=xl/ctrlProps/ctrlProp22.xml><?xml version="1.0" encoding="utf-8"?>
<formControlPr xmlns="http://schemas.microsoft.com/office/spreadsheetml/2009/9/main" objectType="CheckBox" checked="Checked" fmlaLink="FormSampel!$B$7" lockText="1" noThreeD="1"/>
</file>

<file path=xl/ctrlProps/ctrlProp23.xml><?xml version="1.0" encoding="utf-8"?>
<formControlPr xmlns="http://schemas.microsoft.com/office/spreadsheetml/2009/9/main" objectType="CheckBox" fmlaLink="FormSampel!$B$11" lockText="1" noThreeD="1"/>
</file>

<file path=xl/ctrlProps/ctrlProp24.xml><?xml version="1.0" encoding="utf-8"?>
<formControlPr xmlns="http://schemas.microsoft.com/office/spreadsheetml/2009/9/main" objectType="CheckBox" checked="Checked" fmlaLink="FormSampel!$B$10" lockText="1" noThreeD="1"/>
</file>

<file path=xl/ctrlProps/ctrlProp25.xml><?xml version="1.0" encoding="utf-8"?>
<formControlPr xmlns="http://schemas.microsoft.com/office/spreadsheetml/2009/9/main" objectType="CheckBox" checked="Checked" fmlaLink="FormSampel!$B$4" lockText="1" noThreeD="1"/>
</file>

<file path=xl/ctrlProps/ctrlProp26.xml><?xml version="1.0" encoding="utf-8"?>
<formControlPr xmlns="http://schemas.microsoft.com/office/spreadsheetml/2009/9/main" objectType="CheckBox" fmlaLink="FormSampel!$B$5" lockText="1" noThreeD="1"/>
</file>

<file path=xl/ctrlProps/ctrlProp27.xml><?xml version="1.0" encoding="utf-8"?>
<formControlPr xmlns="http://schemas.microsoft.com/office/spreadsheetml/2009/9/main" objectType="CheckBox" fmlaLink="FormSampel!$B$8" lockText="1" noThreeD="1"/>
</file>

<file path=xl/ctrlProps/ctrlProp28.xml><?xml version="1.0" encoding="utf-8"?>
<formControlPr xmlns="http://schemas.microsoft.com/office/spreadsheetml/2009/9/main" objectType="CheckBox" checked="Checked" fmlaLink="FormSampel!$B$7" lockText="1" noThreeD="1"/>
</file>

<file path=xl/ctrlProps/ctrlProp29.xml><?xml version="1.0" encoding="utf-8"?>
<formControlPr xmlns="http://schemas.microsoft.com/office/spreadsheetml/2009/9/main" objectType="CheckBox" fmlaLink="FormSampel!$B$11" lockText="1" noThreeD="1"/>
</file>

<file path=xl/ctrlProps/ctrlProp30.xml><?xml version="1.0" encoding="utf-8"?>
<formControlPr xmlns="http://schemas.microsoft.com/office/spreadsheetml/2009/9/main" objectType="CheckBox" checked="Checked" fmlaLink="FormSampel!$B$10" lockText="1" noThreeD="1"/>
</file>

<file path=xl/ctrlProps/ctrlProp31.xml><?xml version="1.0" encoding="utf-8"?>
<formControlPr xmlns="http://schemas.microsoft.com/office/spreadsheetml/2009/9/main" objectType="CheckBox" checked="Checked" fmlaLink="FormSampel!$B$4" lockText="1" noThreeD="1"/>
</file>

<file path=xl/ctrlProps/ctrlProp32.xml><?xml version="1.0" encoding="utf-8"?>
<formControlPr xmlns="http://schemas.microsoft.com/office/spreadsheetml/2009/9/main" objectType="CheckBox" fmlaLink="FormSampel!$B$5" lockText="1" noThreeD="1"/>
</file>

<file path=xl/ctrlProps/ctrlProp33.xml><?xml version="1.0" encoding="utf-8"?>
<formControlPr xmlns="http://schemas.microsoft.com/office/spreadsheetml/2009/9/main" objectType="CheckBox" fmlaLink="FormSampel!$B$8" lockText="1" noThreeD="1"/>
</file>

<file path=xl/ctrlProps/ctrlProp34.xml><?xml version="1.0" encoding="utf-8"?>
<formControlPr xmlns="http://schemas.microsoft.com/office/spreadsheetml/2009/9/main" objectType="CheckBox" checked="Checked" fmlaLink="FormSampel!$B$7" lockText="1" noThreeD="1"/>
</file>

<file path=xl/ctrlProps/ctrlProp35.xml><?xml version="1.0" encoding="utf-8"?>
<formControlPr xmlns="http://schemas.microsoft.com/office/spreadsheetml/2009/9/main" objectType="CheckBox" fmlaLink="FormSampel!$B$11" lockText="1" noThreeD="1"/>
</file>

<file path=xl/ctrlProps/ctrlProp36.xml><?xml version="1.0" encoding="utf-8"?>
<formControlPr xmlns="http://schemas.microsoft.com/office/spreadsheetml/2009/9/main" objectType="CheckBox" checked="Checked" fmlaLink="FormSampel!$B$10" lockText="1" noThreeD="1"/>
</file>

<file path=xl/ctrlProps/ctrlProp37.xml><?xml version="1.0" encoding="utf-8"?>
<formControlPr xmlns="http://schemas.microsoft.com/office/spreadsheetml/2009/9/main" objectType="CheckBox" checked="Checked" fmlaLink="FormSampel!$B$4" lockText="1" noThreeD="1"/>
</file>

<file path=xl/ctrlProps/ctrlProp38.xml><?xml version="1.0" encoding="utf-8"?>
<formControlPr xmlns="http://schemas.microsoft.com/office/spreadsheetml/2009/9/main" objectType="CheckBox" fmlaLink="FormSampel!$B$5" lockText="1" noThreeD="1"/>
</file>

<file path=xl/ctrlProps/ctrlProp39.xml><?xml version="1.0" encoding="utf-8"?>
<formControlPr xmlns="http://schemas.microsoft.com/office/spreadsheetml/2009/9/main" objectType="CheckBox" fmlaLink="FormSampel!$B$8" lockText="1" noThreeD="1"/>
</file>

<file path=xl/ctrlProps/ctrlProp40.xml><?xml version="1.0" encoding="utf-8"?>
<formControlPr xmlns="http://schemas.microsoft.com/office/spreadsheetml/2009/9/main" objectType="CheckBox" checked="Checked" fmlaLink="FormSampel!$B$7" lockText="1" noThreeD="1"/>
</file>

<file path=xl/ctrlProps/ctrlProp41.xml><?xml version="1.0" encoding="utf-8"?>
<formControlPr xmlns="http://schemas.microsoft.com/office/spreadsheetml/2009/9/main" objectType="CheckBox" fmlaLink="FormSampel!$B$11" lockText="1" noThreeD="1"/>
</file>

<file path=xl/ctrlProps/ctrlProp42.xml><?xml version="1.0" encoding="utf-8"?>
<formControlPr xmlns="http://schemas.microsoft.com/office/spreadsheetml/2009/9/main" objectType="CheckBox" checked="Checked" fmlaLink="FormSampel!$B$10" lockText="1" noThreeD="1"/>
</file>

<file path=xl/ctrlProps/ctrlProp43.xml><?xml version="1.0" encoding="utf-8"?>
<formControlPr xmlns="http://schemas.microsoft.com/office/spreadsheetml/2009/9/main" objectType="CheckBox" checked="Checked" fmlaLink="FormSampel!$B$4" lockText="1" noThreeD="1"/>
</file>

<file path=xl/ctrlProps/ctrlProp44.xml><?xml version="1.0" encoding="utf-8"?>
<formControlPr xmlns="http://schemas.microsoft.com/office/spreadsheetml/2009/9/main" objectType="CheckBox" fmlaLink="FormSampel!$B$5" lockText="1" noThreeD="1"/>
</file>

<file path=xl/ctrlProps/ctrlProp45.xml><?xml version="1.0" encoding="utf-8"?>
<formControlPr xmlns="http://schemas.microsoft.com/office/spreadsheetml/2009/9/main" objectType="CheckBox" fmlaLink="FormSampel!$B$8" lockText="1" noThreeD="1"/>
</file>

<file path=xl/ctrlProps/ctrlProp46.xml><?xml version="1.0" encoding="utf-8"?>
<formControlPr xmlns="http://schemas.microsoft.com/office/spreadsheetml/2009/9/main" objectType="CheckBox" checked="Checked" fmlaLink="FormSampel!$B$7" lockText="1" noThreeD="1"/>
</file>

<file path=xl/ctrlProps/ctrlProp47.xml><?xml version="1.0" encoding="utf-8"?>
<formControlPr xmlns="http://schemas.microsoft.com/office/spreadsheetml/2009/9/main" objectType="CheckBox" fmlaLink="FormSampel!$B$11" lockText="1" noThreeD="1"/>
</file>

<file path=xl/ctrlProps/ctrlProp48.xml><?xml version="1.0" encoding="utf-8"?>
<formControlPr xmlns="http://schemas.microsoft.com/office/spreadsheetml/2009/9/main" objectType="CheckBox" checked="Checked" fmlaLink="FormSampel!$B$10" lockText="1" noThreeD="1"/>
</file>

<file path=xl/ctrlProps/ctrlProp49.xml><?xml version="1.0" encoding="utf-8"?>
<formControlPr xmlns="http://schemas.microsoft.com/office/spreadsheetml/2009/9/main" objectType="CheckBox" checked="Checked" fmlaLink="FormSampel!$B$4" lockText="1" noThreeD="1"/>
</file>

<file path=xl/ctrlProps/ctrlProp50.xml><?xml version="1.0" encoding="utf-8"?>
<formControlPr xmlns="http://schemas.microsoft.com/office/spreadsheetml/2009/9/main" objectType="CheckBox" fmlaLink="FormSampel!$B$5" lockText="1" noThreeD="1"/>
</file>

<file path=xl/ctrlProps/ctrlProp51.xml><?xml version="1.0" encoding="utf-8"?>
<formControlPr xmlns="http://schemas.microsoft.com/office/spreadsheetml/2009/9/main" objectType="CheckBox" fmlaLink="FormSampel!$B$8" lockText="1" noThreeD="1"/>
</file>

<file path=xl/ctrlProps/ctrlProp52.xml><?xml version="1.0" encoding="utf-8"?>
<formControlPr xmlns="http://schemas.microsoft.com/office/spreadsheetml/2009/9/main" objectType="CheckBox" checked="Checked" fmlaLink="FormSampel!$B$7" lockText="1" noThreeD="1"/>
</file>

<file path=xl/ctrlProps/ctrlProp53.xml><?xml version="1.0" encoding="utf-8"?>
<formControlPr xmlns="http://schemas.microsoft.com/office/spreadsheetml/2009/9/main" objectType="CheckBox" fmlaLink="FormSampel!$B$11" lockText="1" noThreeD="1"/>
</file>

<file path=xl/ctrlProps/ctrlProp54.xml><?xml version="1.0" encoding="utf-8"?>
<formControlPr xmlns="http://schemas.microsoft.com/office/spreadsheetml/2009/9/main" objectType="CheckBox" checked="Checked" fmlaLink="FormSampel!$B$10" lockText="1" noThreeD="1"/>
</file>

<file path=xl/ctrlProps/ctrlProp55.xml><?xml version="1.0" encoding="utf-8"?>
<formControlPr xmlns="http://schemas.microsoft.com/office/spreadsheetml/2009/9/main" objectType="CheckBox" checked="Checked" fmlaLink="FormSampel!$B$4" lockText="1" noThreeD="1"/>
</file>

<file path=xl/ctrlProps/ctrlProp56.xml><?xml version="1.0" encoding="utf-8"?>
<formControlPr xmlns="http://schemas.microsoft.com/office/spreadsheetml/2009/9/main" objectType="CheckBox" fmlaLink="FormSampel!$B$5" lockText="1" noThreeD="1"/>
</file>

<file path=xl/ctrlProps/ctrlProp57.xml><?xml version="1.0" encoding="utf-8"?>
<formControlPr xmlns="http://schemas.microsoft.com/office/spreadsheetml/2009/9/main" objectType="CheckBox" fmlaLink="FormSampel!$B$8" lockText="1" noThreeD="1"/>
</file>

<file path=xl/ctrlProps/ctrlProp58.xml><?xml version="1.0" encoding="utf-8"?>
<formControlPr xmlns="http://schemas.microsoft.com/office/spreadsheetml/2009/9/main" objectType="CheckBox" checked="Checked" fmlaLink="FormSampel!$B$7" lockText="1" noThreeD="1"/>
</file>

<file path=xl/ctrlProps/ctrlProp59.xml><?xml version="1.0" encoding="utf-8"?>
<formControlPr xmlns="http://schemas.microsoft.com/office/spreadsheetml/2009/9/main" objectType="CheckBox" fmlaLink="FormSampel!$B$11" lockText="1" noThreeD="1"/>
</file>

<file path=xl/ctrlProps/ctrlProp60.xml><?xml version="1.0" encoding="utf-8"?>
<formControlPr xmlns="http://schemas.microsoft.com/office/spreadsheetml/2009/9/main" objectType="CheckBox" checked="Checked" fmlaLink="FormSampel!$B$10" lockText="1" noThreeD="1"/>
</file>

<file path=xl/ctrlProps/ctrlProp61.xml><?xml version="1.0" encoding="utf-8"?>
<formControlPr xmlns="http://schemas.microsoft.com/office/spreadsheetml/2009/9/main" objectType="CheckBox" checked="Checked" fmlaLink="FormSampel!$B$4" lockText="1" noThreeD="1"/>
</file>

<file path=xl/ctrlProps/ctrlProp62.xml><?xml version="1.0" encoding="utf-8"?>
<formControlPr xmlns="http://schemas.microsoft.com/office/spreadsheetml/2009/9/main" objectType="CheckBox" fmlaLink="FormSampel!$B$5" lockText="1" noThreeD="1"/>
</file>

<file path=xl/ctrlProps/ctrlProp63.xml><?xml version="1.0" encoding="utf-8"?>
<formControlPr xmlns="http://schemas.microsoft.com/office/spreadsheetml/2009/9/main" objectType="CheckBox" fmlaLink="FormSampel!$B$8" lockText="1" noThreeD="1"/>
</file>

<file path=xl/ctrlProps/ctrlProp64.xml><?xml version="1.0" encoding="utf-8"?>
<formControlPr xmlns="http://schemas.microsoft.com/office/spreadsheetml/2009/9/main" objectType="CheckBox" checked="Checked" fmlaLink="FormSampel!$B$7" lockText="1" noThreeD="1"/>
</file>

<file path=xl/ctrlProps/ctrlProp65.xml><?xml version="1.0" encoding="utf-8"?>
<formControlPr xmlns="http://schemas.microsoft.com/office/spreadsheetml/2009/9/main" objectType="CheckBox" fmlaLink="FormSampel!$B$11" lockText="1" noThreeD="1"/>
</file>

<file path=xl/ctrlProps/ctrlProp66.xml><?xml version="1.0" encoding="utf-8"?>
<formControlPr xmlns="http://schemas.microsoft.com/office/spreadsheetml/2009/9/main" objectType="CheckBox" checked="Checked" fmlaLink="FormSampel!$B$10" lockText="1" noThreeD="1"/>
</file>

<file path=xl/ctrlProps/ctrlProp67.xml><?xml version="1.0" encoding="utf-8"?>
<formControlPr xmlns="http://schemas.microsoft.com/office/spreadsheetml/2009/9/main" objectType="CheckBox" checked="Checked" fmlaLink="FormSampel!$B$4" lockText="1" noThreeD="1"/>
</file>

<file path=xl/ctrlProps/ctrlProp68.xml><?xml version="1.0" encoding="utf-8"?>
<formControlPr xmlns="http://schemas.microsoft.com/office/spreadsheetml/2009/9/main" objectType="CheckBox" fmlaLink="FormSampel!$B$5" lockText="1" noThreeD="1"/>
</file>

<file path=xl/ctrlProps/ctrlProp69.xml><?xml version="1.0" encoding="utf-8"?>
<formControlPr xmlns="http://schemas.microsoft.com/office/spreadsheetml/2009/9/main" objectType="CheckBox" fmlaLink="FormSampel!$B$8" lockText="1" noThreeD="1"/>
</file>

<file path=xl/ctrlProps/ctrlProp70.xml><?xml version="1.0" encoding="utf-8"?>
<formControlPr xmlns="http://schemas.microsoft.com/office/spreadsheetml/2009/9/main" objectType="CheckBox" checked="Checked" fmlaLink="FormSampel!$B$7" lockText="1" noThreeD="1"/>
</file>

<file path=xl/ctrlProps/ctrlProp71.xml><?xml version="1.0" encoding="utf-8"?>
<formControlPr xmlns="http://schemas.microsoft.com/office/spreadsheetml/2009/9/main" objectType="CheckBox" fmlaLink="FormSampel!$B$11" lockText="1" noThreeD="1"/>
</file>

<file path=xl/ctrlProps/ctrlProp72.xml><?xml version="1.0" encoding="utf-8"?>
<formControlPr xmlns="http://schemas.microsoft.com/office/spreadsheetml/2009/9/main" objectType="CheckBox" checked="Checked" fmlaLink="FormSampel!$B$10" lockText="1" noThreeD="1"/>
</file>

<file path=xl/ctrlProps/ctrlProp73.xml><?xml version="1.0" encoding="utf-8"?>
<formControlPr xmlns="http://schemas.microsoft.com/office/spreadsheetml/2009/9/main" objectType="CheckBox" checked="Checked" fmlaLink="FormSampel!$B$4" lockText="1" noThreeD="1"/>
</file>

<file path=xl/ctrlProps/ctrlProp74.xml><?xml version="1.0" encoding="utf-8"?>
<formControlPr xmlns="http://schemas.microsoft.com/office/spreadsheetml/2009/9/main" objectType="CheckBox" fmlaLink="FormSampel!$B$5" lockText="1" noThreeD="1"/>
</file>

<file path=xl/ctrlProps/ctrlProp75.xml><?xml version="1.0" encoding="utf-8"?>
<formControlPr xmlns="http://schemas.microsoft.com/office/spreadsheetml/2009/9/main" objectType="CheckBox" fmlaLink="FormSampel!$B$8" lockText="1" noThreeD="1"/>
</file>

<file path=xl/ctrlProps/ctrlProp76.xml><?xml version="1.0" encoding="utf-8"?>
<formControlPr xmlns="http://schemas.microsoft.com/office/spreadsheetml/2009/9/main" objectType="CheckBox" checked="Checked" fmlaLink="FormSampel!$B$7" lockText="1" noThreeD="1"/>
</file>

<file path=xl/ctrlProps/ctrlProp77.xml><?xml version="1.0" encoding="utf-8"?>
<formControlPr xmlns="http://schemas.microsoft.com/office/spreadsheetml/2009/9/main" objectType="CheckBox" fmlaLink="FormSampel!$B$11" lockText="1" noThreeD="1"/>
</file>

<file path=xl/ctrlProps/ctrlProp78.xml><?xml version="1.0" encoding="utf-8"?>
<formControlPr xmlns="http://schemas.microsoft.com/office/spreadsheetml/2009/9/main" objectType="CheckBox" checked="Checked" fmlaLink="FormSampel!$B$10" lockText="1" noThreeD="1"/>
</file>

<file path=xl/ctrlProps/ctrlProp79.xml><?xml version="1.0" encoding="utf-8"?>
<formControlPr xmlns="http://schemas.microsoft.com/office/spreadsheetml/2009/9/main" objectType="CheckBox" checked="Checked" fmlaLink="FormSampel!$B$4" lockText="1" noThreeD="1"/>
</file>

<file path=xl/ctrlProps/ctrlProp80.xml><?xml version="1.0" encoding="utf-8"?>
<formControlPr xmlns="http://schemas.microsoft.com/office/spreadsheetml/2009/9/main" objectType="CheckBox" fmlaLink="FormSampel!$B$5" lockText="1" noThreeD="1"/>
</file>

<file path=xl/ctrlProps/ctrlProp81.xml><?xml version="1.0" encoding="utf-8"?>
<formControlPr xmlns="http://schemas.microsoft.com/office/spreadsheetml/2009/9/main" objectType="CheckBox" fmlaLink="FormSampel!$B$8" lockText="1" noThreeD="1"/>
</file>

<file path=xl/ctrlProps/ctrlProp82.xml><?xml version="1.0" encoding="utf-8"?>
<formControlPr xmlns="http://schemas.microsoft.com/office/spreadsheetml/2009/9/main" objectType="CheckBox" checked="Checked" fmlaLink="FormSampel!$B$7" lockText="1" noThreeD="1"/>
</file>

<file path=xl/ctrlProps/ctrlProp83.xml><?xml version="1.0" encoding="utf-8"?>
<formControlPr xmlns="http://schemas.microsoft.com/office/spreadsheetml/2009/9/main" objectType="CheckBox" fmlaLink="FormSampel!$B$11" lockText="1" noThreeD="1"/>
</file>

<file path=xl/ctrlProps/ctrlProp84.xml><?xml version="1.0" encoding="utf-8"?>
<formControlPr xmlns="http://schemas.microsoft.com/office/spreadsheetml/2009/9/main" objectType="CheckBox" checked="Checked" fmlaLink="FormSampel!$B$10" lockText="1" noThreeD="1"/>
</file>

<file path=xl/ctrlProps/ctrlProp85.xml><?xml version="1.0" encoding="utf-8"?>
<formControlPr xmlns="http://schemas.microsoft.com/office/spreadsheetml/2009/9/main" objectType="CheckBox" checked="Checked" fmlaLink="FormSampel!$B$4" lockText="1" noThreeD="1"/>
</file>

<file path=xl/ctrlProps/ctrlProp86.xml><?xml version="1.0" encoding="utf-8"?>
<formControlPr xmlns="http://schemas.microsoft.com/office/spreadsheetml/2009/9/main" objectType="CheckBox" fmlaLink="FormSampel!$B$5" lockText="1" noThreeD="1"/>
</file>

<file path=xl/ctrlProps/ctrlProp87.xml><?xml version="1.0" encoding="utf-8"?>
<formControlPr xmlns="http://schemas.microsoft.com/office/spreadsheetml/2009/9/main" objectType="CheckBox" fmlaLink="FormSampel!$B$8" lockText="1" noThreeD="1"/>
</file>

<file path=xl/ctrlProps/ctrlProp88.xml><?xml version="1.0" encoding="utf-8"?>
<formControlPr xmlns="http://schemas.microsoft.com/office/spreadsheetml/2009/9/main" objectType="CheckBox" checked="Checked" fmlaLink="FormSampel!$B$7" lockText="1" noThreeD="1"/>
</file>

<file path=xl/ctrlProps/ctrlProp89.xml><?xml version="1.0" encoding="utf-8"?>
<formControlPr xmlns="http://schemas.microsoft.com/office/spreadsheetml/2009/9/main" objectType="CheckBox" fmlaLink="FormSampel!$B$11" lockText="1" noThreeD="1"/>
</file>

<file path=xl/ctrlProps/ctrlProp90.xml><?xml version="1.0" encoding="utf-8"?>
<formControlPr xmlns="http://schemas.microsoft.com/office/spreadsheetml/2009/9/main" objectType="CheckBox" checked="Checked" fmlaLink="FormSampel!$B$10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3553" name="Check Box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3554" name="Check Box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2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3555" name="Check Box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2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3556" name="Check Box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2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3557" name="Check Box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2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3558" name="Check Box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2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4577" name="Check Box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3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4578" name="Check Box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3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4579" name="Check Box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3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4580" name="Check Box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3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4581" name="Check Box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3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4582" name="Check Box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3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5601" name="Check Box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5602" name="Check Box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4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5603" name="Check Box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4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5604" name="Check Box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4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5605" name="Check Box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4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5606" name="Check Box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4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6625" name="Check Box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5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6626" name="Check Box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5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6627" name="Check Box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5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6628" name="Check Box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5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6629" name="Check Box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5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6630" name="Check Box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5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7649" name="Check Box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7650" name="Check Box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6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7651" name="Check Box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6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7652" name="Check Box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6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7653" name="Check Box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6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7654" name="Check Box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6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8673" name="Check Box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8674" name="Check Box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7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8675" name="Check Box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7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8676" name="Check Box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7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8677" name="Check Box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7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8678" name="Check Box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7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7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8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9697" name="Check Box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8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9698" name="Check Box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8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9699" name="Check Box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9700" name="Check Box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9701" name="Check Box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9702" name="Check Box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8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0721" name="Check Box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0722" name="Check Box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0723" name="Check Box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9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0724" name="Check Box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9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0725" name="Check Box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9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0726" name="Check Box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9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9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1745" name="Check Box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1746" name="Check Box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A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1747" name="Check Box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A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1748" name="Check Box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A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1749" name="Check Box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A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1750" name="Check Box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A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A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A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B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2769" name="Check Box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B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2770" name="Check Box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B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2771" name="Check Box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B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2772" name="Check Box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B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2773" name="Check Box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B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2774" name="Check Box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B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B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B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B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B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C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C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3793" name="Check Box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C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3794" name="Check Box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C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3795" name="Check Box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C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3796" name="Check Box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C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3797" name="Check Box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C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3798" name="Check Box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C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C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C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C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C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D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D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4817" name="Check Box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D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4818" name="Check Box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D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4819" name="Check Box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D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4820" name="Check Box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D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4821" name="Check Box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D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4822" name="Check Box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D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D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D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D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D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E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E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5841" name="Check Box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E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5842" name="Check Box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E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5843" name="Check Box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E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5844" name="Check Box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E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5845" name="Check Box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E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5846" name="Check Box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E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E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E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E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F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F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6865" name="Check Box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F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6866" name="Check Box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F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6867" name="Check Box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F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6868" name="Check Box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F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6869" name="Check Box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F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6870" name="Check Box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F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F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F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F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F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4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5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5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Relationship Id="rId9" Type="http://schemas.openxmlformats.org/officeDocument/2006/relationships/ctrlProp" Target="../ctrlProps/ctrlProp6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5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6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63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Relationship Id="rId9" Type="http://schemas.openxmlformats.org/officeDocument/2006/relationships/ctrlProp" Target="../ctrlProps/ctrlProp6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1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7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Relationship Id="rId9" Type="http://schemas.openxmlformats.org/officeDocument/2006/relationships/ctrlProp" Target="../ctrlProps/ctrlProp7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7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75.xml"/><Relationship Id="rId5" Type="http://schemas.openxmlformats.org/officeDocument/2006/relationships/ctrlProp" Target="../ctrlProps/ctrlProp74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3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8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81.xml"/><Relationship Id="rId5" Type="http://schemas.openxmlformats.org/officeDocument/2006/relationships/ctrlProp" Target="../ctrlProps/ctrlProp80.xml"/><Relationship Id="rId4" Type="http://schemas.openxmlformats.org/officeDocument/2006/relationships/ctrlProp" Target="../ctrlProps/ctrlProp79.xml"/><Relationship Id="rId9" Type="http://schemas.openxmlformats.org/officeDocument/2006/relationships/ctrlProp" Target="../ctrlProps/ctrlProp8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9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88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87.xml"/><Relationship Id="rId5" Type="http://schemas.openxmlformats.org/officeDocument/2006/relationships/ctrlProp" Target="../ctrlProps/ctrlProp86.xml"/><Relationship Id="rId4" Type="http://schemas.openxmlformats.org/officeDocument/2006/relationships/ctrlProp" Target="../ctrlProps/ctrlProp85.xml"/><Relationship Id="rId9" Type="http://schemas.openxmlformats.org/officeDocument/2006/relationships/ctrlProp" Target="../ctrlProps/ctrlProp9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0036E-C1E5-4A84-9EED-532B71567F88}">
  <sheetPr codeName="Sheet21"/>
  <dimension ref="A1:K74"/>
  <sheetViews>
    <sheetView workbookViewId="0">
      <selection activeCell="J4" sqref="J4"/>
    </sheetView>
  </sheetViews>
  <sheetFormatPr defaultRowHeight="15" x14ac:dyDescent="0.25"/>
  <cols>
    <col min="1" max="1" width="27.42578125" bestFit="1" customWidth="1"/>
    <col min="2" max="3" width="15.7109375" customWidth="1"/>
    <col min="4" max="4" width="9.140625" style="72" customWidth="1"/>
    <col min="5" max="5" width="4" customWidth="1"/>
    <col min="6" max="6" width="24" style="75" customWidth="1"/>
    <col min="7" max="7" width="9.5703125" style="78" bestFit="1" customWidth="1"/>
    <col min="8" max="8" width="9.140625" style="78"/>
    <col min="9" max="9" width="9.5703125" style="78" bestFit="1" customWidth="1"/>
    <col min="10" max="10" width="9.140625" style="78"/>
  </cols>
  <sheetData>
    <row r="1" spans="1:11" ht="15.75" customHeight="1" thickBot="1" x14ac:dyDescent="0.3"/>
    <row r="2" spans="1:11" ht="15.75" customHeight="1" thickBot="1" x14ac:dyDescent="0.3">
      <c r="A2" s="61" t="s">
        <v>3</v>
      </c>
      <c r="B2" s="64">
        <v>110924</v>
      </c>
      <c r="E2" s="86" t="s">
        <v>90</v>
      </c>
      <c r="F2" s="86" t="s">
        <v>91</v>
      </c>
      <c r="G2" s="85" t="s">
        <v>92</v>
      </c>
      <c r="H2" s="85"/>
      <c r="I2" s="85"/>
      <c r="J2" s="85"/>
    </row>
    <row r="3" spans="1:11" ht="15" customHeight="1" x14ac:dyDescent="0.25">
      <c r="A3" s="60" t="s">
        <v>63</v>
      </c>
      <c r="B3" s="65" t="s">
        <v>65</v>
      </c>
      <c r="E3" s="86"/>
      <c r="F3" s="87"/>
      <c r="G3" s="79" t="s">
        <v>72</v>
      </c>
      <c r="H3" s="80" t="s">
        <v>80</v>
      </c>
      <c r="I3" s="81" t="s">
        <v>14</v>
      </c>
      <c r="J3" s="82" t="s">
        <v>73</v>
      </c>
    </row>
    <row r="4" spans="1:11" ht="15.75" customHeight="1" x14ac:dyDescent="0.25">
      <c r="A4" s="62" t="s">
        <v>64</v>
      </c>
      <c r="B4" s="46" t="b">
        <v>1</v>
      </c>
      <c r="E4" s="76">
        <v>1</v>
      </c>
      <c r="F4" s="77">
        <v>2024070247</v>
      </c>
      <c r="G4" s="83">
        <v>13889.421</v>
      </c>
      <c r="H4" s="83">
        <v>59.57</v>
      </c>
      <c r="I4" s="83">
        <v>11624.088</v>
      </c>
      <c r="J4" s="83">
        <v>755.33100000000002</v>
      </c>
      <c r="K4" s="72"/>
    </row>
    <row r="5" spans="1:11" ht="15.75" thickBot="1" x14ac:dyDescent="0.3">
      <c r="A5" s="47" t="s">
        <v>66</v>
      </c>
      <c r="B5" s="67" t="b">
        <v>0</v>
      </c>
      <c r="E5" s="76">
        <v>2</v>
      </c>
      <c r="F5" s="77"/>
      <c r="G5" s="83"/>
      <c r="H5" s="83"/>
      <c r="I5" s="83"/>
      <c r="J5" s="83"/>
      <c r="K5" s="72"/>
    </row>
    <row r="6" spans="1:11" x14ac:dyDescent="0.25">
      <c r="A6" s="63" t="s">
        <v>67</v>
      </c>
      <c r="B6" s="69"/>
      <c r="E6" s="76">
        <v>3</v>
      </c>
      <c r="F6" s="77"/>
      <c r="G6" s="83"/>
      <c r="H6" s="83"/>
      <c r="I6" s="83"/>
      <c r="J6" s="83"/>
      <c r="K6" s="72"/>
    </row>
    <row r="7" spans="1:11" x14ac:dyDescent="0.25">
      <c r="A7" s="62" t="s">
        <v>68</v>
      </c>
      <c r="B7" s="66" t="b">
        <v>1</v>
      </c>
      <c r="E7" s="76">
        <v>4</v>
      </c>
      <c r="F7" s="77"/>
      <c r="G7" s="83"/>
      <c r="H7" s="83"/>
      <c r="I7" s="83"/>
      <c r="J7" s="83"/>
      <c r="K7" s="72"/>
    </row>
    <row r="8" spans="1:11" ht="15.75" thickBot="1" x14ac:dyDescent="0.3">
      <c r="A8" s="47" t="s">
        <v>88</v>
      </c>
      <c r="B8" s="67" t="b">
        <v>0</v>
      </c>
      <c r="E8" s="76">
        <v>5</v>
      </c>
      <c r="F8" s="77"/>
      <c r="G8" s="83"/>
      <c r="H8" s="83"/>
      <c r="I8" s="83"/>
      <c r="J8" s="83"/>
      <c r="K8" s="72"/>
    </row>
    <row r="9" spans="1:11" x14ac:dyDescent="0.25">
      <c r="A9" s="63" t="s">
        <v>69</v>
      </c>
      <c r="B9" s="68"/>
      <c r="E9" s="76">
        <v>6</v>
      </c>
      <c r="F9" s="77"/>
      <c r="G9" s="83"/>
      <c r="H9" s="83"/>
      <c r="I9" s="83"/>
      <c r="J9" s="83"/>
      <c r="K9" s="72"/>
    </row>
    <row r="10" spans="1:11" x14ac:dyDescent="0.25">
      <c r="A10" s="62" t="s">
        <v>70</v>
      </c>
      <c r="B10" s="66" t="b">
        <v>1</v>
      </c>
      <c r="E10" s="76">
        <v>7</v>
      </c>
      <c r="F10" s="77"/>
      <c r="G10" s="83"/>
      <c r="H10" s="83"/>
      <c r="I10" s="83"/>
      <c r="J10" s="83"/>
      <c r="K10" s="72"/>
    </row>
    <row r="11" spans="1:11" ht="15.75" customHeight="1" thickBot="1" x14ac:dyDescent="0.3">
      <c r="A11" s="49" t="s">
        <v>71</v>
      </c>
      <c r="B11" s="67" t="b">
        <v>0</v>
      </c>
      <c r="E11" s="76">
        <v>8</v>
      </c>
      <c r="F11" s="77"/>
      <c r="G11" s="83"/>
      <c r="H11" s="83"/>
      <c r="I11" s="83"/>
      <c r="J11" s="83"/>
      <c r="K11" s="72"/>
    </row>
    <row r="12" spans="1:11" ht="15" customHeight="1" x14ac:dyDescent="0.25">
      <c r="A12" s="88" t="s">
        <v>42</v>
      </c>
      <c r="B12" s="90" t="s">
        <v>78</v>
      </c>
      <c r="C12" s="92" t="s">
        <v>79</v>
      </c>
      <c r="E12" s="76">
        <v>9</v>
      </c>
      <c r="F12" s="77"/>
      <c r="G12" s="83"/>
      <c r="H12" s="83"/>
      <c r="I12" s="83"/>
      <c r="J12" s="83"/>
      <c r="K12" s="72"/>
    </row>
    <row r="13" spans="1:11" s="39" customFormat="1" ht="15" customHeight="1" x14ac:dyDescent="0.25">
      <c r="A13" s="89"/>
      <c r="B13" s="91"/>
      <c r="C13" s="93"/>
      <c r="D13" s="72"/>
      <c r="E13" s="76">
        <v>10</v>
      </c>
      <c r="F13" s="77"/>
      <c r="G13" s="83"/>
      <c r="H13" s="83"/>
      <c r="I13" s="83"/>
      <c r="J13" s="83"/>
      <c r="K13" s="72"/>
    </row>
    <row r="14" spans="1:11" ht="15.75" customHeight="1" x14ac:dyDescent="0.25">
      <c r="A14" s="70" t="s">
        <v>72</v>
      </c>
      <c r="B14" s="46" t="s">
        <v>81</v>
      </c>
      <c r="C14" s="52">
        <v>45808</v>
      </c>
      <c r="E14" s="76">
        <v>11</v>
      </c>
      <c r="F14" s="77"/>
      <c r="G14" s="83"/>
      <c r="H14" s="83"/>
      <c r="I14" s="83"/>
      <c r="J14" s="83"/>
      <c r="K14" s="72"/>
    </row>
    <row r="15" spans="1:11" x14ac:dyDescent="0.25">
      <c r="A15" s="73" t="s">
        <v>14</v>
      </c>
      <c r="B15" s="46" t="s">
        <v>82</v>
      </c>
      <c r="C15" s="52">
        <v>45716</v>
      </c>
      <c r="E15" s="76">
        <v>12</v>
      </c>
      <c r="F15" s="77"/>
      <c r="G15" s="83"/>
      <c r="H15" s="83"/>
      <c r="I15" s="83"/>
      <c r="J15" s="83"/>
    </row>
    <row r="16" spans="1:11" ht="15" customHeight="1" x14ac:dyDescent="0.25">
      <c r="A16" s="73" t="s">
        <v>73</v>
      </c>
      <c r="B16" s="46" t="s">
        <v>83</v>
      </c>
      <c r="C16" s="52">
        <v>45688</v>
      </c>
      <c r="E16" s="76">
        <v>13</v>
      </c>
      <c r="F16" s="77"/>
      <c r="G16" s="83"/>
      <c r="H16" s="83"/>
      <c r="I16" s="83"/>
      <c r="J16" s="83"/>
    </row>
    <row r="17" spans="1:10" ht="15.75" customHeight="1" thickBot="1" x14ac:dyDescent="0.3">
      <c r="A17" s="74" t="s">
        <v>89</v>
      </c>
      <c r="B17" s="51" t="s">
        <v>84</v>
      </c>
      <c r="C17" s="53">
        <v>46142</v>
      </c>
      <c r="E17" s="76">
        <v>14</v>
      </c>
      <c r="F17" s="77"/>
      <c r="G17" s="83"/>
      <c r="H17" s="83"/>
      <c r="I17" s="83"/>
      <c r="J17" s="83"/>
    </row>
    <row r="18" spans="1:10" ht="15" customHeight="1" x14ac:dyDescent="0.25">
      <c r="A18" s="59" t="s">
        <v>85</v>
      </c>
      <c r="B18" s="54"/>
      <c r="C18" s="55"/>
      <c r="E18" s="76">
        <v>15</v>
      </c>
      <c r="F18" s="77"/>
      <c r="G18" s="83"/>
      <c r="H18" s="83"/>
      <c r="I18" s="83"/>
      <c r="J18" s="83"/>
    </row>
    <row r="19" spans="1:10" ht="15.75" customHeight="1" x14ac:dyDescent="0.25">
      <c r="A19" s="56" t="s">
        <v>86</v>
      </c>
      <c r="B19" s="84" t="s">
        <v>93</v>
      </c>
      <c r="C19" s="57"/>
    </row>
    <row r="20" spans="1:10" ht="15.75" thickBot="1" x14ac:dyDescent="0.3">
      <c r="A20" s="50" t="s">
        <v>87</v>
      </c>
      <c r="B20" s="58">
        <v>45546</v>
      </c>
      <c r="C20" s="48"/>
    </row>
    <row r="21" spans="1:10" ht="15" customHeight="1" x14ac:dyDescent="0.25"/>
    <row r="22" spans="1:10" ht="15" customHeight="1" x14ac:dyDescent="0.25"/>
    <row r="23" spans="1:10" ht="15" customHeight="1" x14ac:dyDescent="0.25"/>
    <row r="24" spans="1:10" ht="15.7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.7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.75" customHeight="1" x14ac:dyDescent="0.25"/>
    <row r="36" ht="15" customHeight="1" x14ac:dyDescent="0.25"/>
    <row r="37" ht="15" customHeight="1" x14ac:dyDescent="0.25"/>
    <row r="38" ht="15" customHeight="1" x14ac:dyDescent="0.25"/>
    <row r="39" ht="15.75" customHeight="1" x14ac:dyDescent="0.25"/>
    <row r="41" ht="15" customHeight="1" x14ac:dyDescent="0.25"/>
    <row r="42" ht="15" customHeight="1" x14ac:dyDescent="0.25"/>
    <row r="43" ht="15" customHeight="1" x14ac:dyDescent="0.25"/>
    <row r="44" ht="15.75" customHeight="1" x14ac:dyDescent="0.25"/>
    <row r="46" ht="15" customHeight="1" x14ac:dyDescent="0.25"/>
    <row r="47" ht="15" customHeight="1" x14ac:dyDescent="0.25"/>
    <row r="48" ht="15" customHeight="1" x14ac:dyDescent="0.25"/>
    <row r="49" spans="5:5" ht="15.75" customHeight="1" x14ac:dyDescent="0.25"/>
    <row r="50" spans="5:5" x14ac:dyDescent="0.25">
      <c r="E50" s="71"/>
    </row>
    <row r="51" spans="5:5" ht="15" customHeight="1" x14ac:dyDescent="0.25"/>
    <row r="52" spans="5:5" ht="15" customHeight="1" x14ac:dyDescent="0.25"/>
    <row r="53" spans="5:5" ht="15" customHeight="1" x14ac:dyDescent="0.25"/>
    <row r="54" spans="5:5" ht="15.75" customHeight="1" x14ac:dyDescent="0.25"/>
    <row r="56" spans="5:5" ht="15" customHeight="1" x14ac:dyDescent="0.25"/>
    <row r="57" spans="5:5" ht="15" customHeight="1" x14ac:dyDescent="0.25"/>
    <row r="58" spans="5:5" ht="15" customHeight="1" x14ac:dyDescent="0.25"/>
    <row r="59" spans="5:5" ht="15.75" customHeight="1" x14ac:dyDescent="0.25"/>
    <row r="61" spans="5:5" ht="15" customHeight="1" x14ac:dyDescent="0.25"/>
    <row r="62" spans="5:5" ht="15" customHeight="1" x14ac:dyDescent="0.25"/>
    <row r="63" spans="5:5" ht="15" customHeight="1" x14ac:dyDescent="0.25"/>
    <row r="64" spans="5:5" ht="15.75" customHeight="1" x14ac:dyDescent="0.25"/>
    <row r="66" ht="15" customHeight="1" x14ac:dyDescent="0.25"/>
    <row r="67" ht="15" customHeight="1" x14ac:dyDescent="0.25"/>
    <row r="68" ht="15" customHeight="1" x14ac:dyDescent="0.25"/>
    <row r="69" ht="15.75" customHeight="1" x14ac:dyDescent="0.25"/>
    <row r="71" ht="15" customHeight="1" x14ac:dyDescent="0.25"/>
    <row r="72" ht="15" customHeight="1" x14ac:dyDescent="0.25"/>
    <row r="73" ht="15" customHeight="1" x14ac:dyDescent="0.25"/>
    <row r="74" ht="15.75" customHeight="1" x14ac:dyDescent="0.25"/>
  </sheetData>
  <mergeCells count="6">
    <mergeCell ref="G2:J2"/>
    <mergeCell ref="F2:F3"/>
    <mergeCell ref="E2:E3"/>
    <mergeCell ref="A12:A13"/>
    <mergeCell ref="B12:B13"/>
    <mergeCell ref="C12:C13"/>
  </mergeCells>
  <conditionalFormatting sqref="B4">
    <cfRule type="cellIs" dxfId="22" priority="7" operator="equal">
      <formula>"Sila Pilih"</formula>
    </cfRule>
    <cfRule type="cellIs" dxfId="21" priority="99" operator="equal">
      <formula>FALSE</formula>
    </cfRule>
    <cfRule type="cellIs" dxfId="20" priority="100" operator="equal">
      <formula>TRUE</formula>
    </cfRule>
  </conditionalFormatting>
  <conditionalFormatting sqref="B5">
    <cfRule type="cellIs" dxfId="19" priority="6" operator="equal">
      <formula>"Sila Pilih"</formula>
    </cfRule>
    <cfRule type="cellIs" dxfId="18" priority="97" operator="equal">
      <formula>FALSE</formula>
    </cfRule>
    <cfRule type="cellIs" dxfId="17" priority="98" operator="equal">
      <formula>TRUE</formula>
    </cfRule>
  </conditionalFormatting>
  <conditionalFormatting sqref="B7">
    <cfRule type="cellIs" dxfId="16" priority="5" operator="equal">
      <formula>"Sila Pilih"</formula>
    </cfRule>
    <cfRule type="cellIs" dxfId="15" priority="95" operator="equal">
      <formula>FALSE</formula>
    </cfRule>
    <cfRule type="cellIs" dxfId="14" priority="96" operator="equal">
      <formula>TRUE</formula>
    </cfRule>
  </conditionalFormatting>
  <conditionalFormatting sqref="B8">
    <cfRule type="cellIs" dxfId="13" priority="4" operator="equal">
      <formula>"Sila Pilih"</formula>
    </cfRule>
    <cfRule type="cellIs" dxfId="12" priority="93" operator="equal">
      <formula>FALSE</formula>
    </cfRule>
    <cfRule type="cellIs" dxfId="11" priority="94" operator="equal">
      <formula>TRUE</formula>
    </cfRule>
  </conditionalFormatting>
  <conditionalFormatting sqref="B10">
    <cfRule type="cellIs" dxfId="10" priority="3" operator="equal">
      <formula>"Sila Pilih"</formula>
    </cfRule>
    <cfRule type="cellIs" dxfId="9" priority="91" operator="equal">
      <formula>FALSE</formula>
    </cfRule>
    <cfRule type="cellIs" dxfId="8" priority="92" operator="equal">
      <formula>TRUE</formula>
    </cfRule>
  </conditionalFormatting>
  <conditionalFormatting sqref="B11">
    <cfRule type="cellIs" dxfId="7" priority="2" operator="equal">
      <formula>"Sila Pilih"</formula>
    </cfRule>
    <cfRule type="cellIs" dxfId="6" priority="89" operator="equal">
      <formula>FALSE</formula>
    </cfRule>
    <cfRule type="cellIs" dxfId="5" priority="90" operator="equal">
      <formula>TRUE</formula>
    </cfRule>
  </conditionalFormatting>
  <conditionalFormatting sqref="B2">
    <cfRule type="expression" dxfId="4" priority="88">
      <formula>LEN(B2)=0</formula>
    </cfRule>
  </conditionalFormatting>
  <conditionalFormatting sqref="B14:C17">
    <cfRule type="expression" dxfId="3" priority="87">
      <formula>LEN(B14:C17)=0</formula>
    </cfRule>
  </conditionalFormatting>
  <conditionalFormatting sqref="B19">
    <cfRule type="expression" dxfId="2" priority="86">
      <formula>LEN(B19)=0</formula>
    </cfRule>
  </conditionalFormatting>
  <conditionalFormatting sqref="B20">
    <cfRule type="expression" dxfId="1" priority="85">
      <formula>LEN(B20)=0</formula>
    </cfRule>
  </conditionalFormatting>
  <conditionalFormatting sqref="F4:J18">
    <cfRule type="expression" dxfId="0" priority="1">
      <formula>LEN(F4)=0</formula>
    </cfRule>
  </conditionalFormatting>
  <dataValidations count="2">
    <dataValidation type="list" allowBlank="1" showInputMessage="1" showErrorMessage="1" sqref="B11 B5 B7" xr:uid="{2C910534-D672-4BED-A0C2-857ABA2996F3}">
      <formula1>"Sila Pilih, TRUE,FALSE"</formula1>
    </dataValidation>
    <dataValidation type="list" allowBlank="1" showInputMessage="1" showErrorMessage="1" sqref="B4 B8 B10" xr:uid="{6E09E8F8-156D-4273-A18F-08791918021B}">
      <formula1>"Sila Pilih,TRUE,FALSE"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D4" sqref="D4:J4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8" t="s">
        <v>0</v>
      </c>
      <c r="B1" s="129"/>
      <c r="C1" s="129"/>
      <c r="D1" s="129"/>
      <c r="E1" s="129"/>
      <c r="F1" s="129"/>
      <c r="G1" s="129"/>
      <c r="H1" s="129"/>
      <c r="I1" s="129"/>
      <c r="J1" s="130"/>
    </row>
    <row r="2" spans="1:26" x14ac:dyDescent="0.25">
      <c r="A2" s="128" t="s">
        <v>1</v>
      </c>
      <c r="B2" s="129"/>
      <c r="C2" s="129"/>
      <c r="D2" s="129"/>
      <c r="E2" s="129"/>
      <c r="F2" s="129"/>
      <c r="G2" s="129"/>
      <c r="H2" s="129"/>
      <c r="I2" s="129"/>
      <c r="J2" s="130"/>
    </row>
    <row r="3" spans="1:26" x14ac:dyDescent="0.25">
      <c r="A3" s="131" t="s">
        <v>2</v>
      </c>
      <c r="B3" s="129"/>
      <c r="C3" s="130"/>
      <c r="D3" s="132">
        <f>FormSampel!F4</f>
        <v>2024070247</v>
      </c>
      <c r="E3" s="129"/>
      <c r="F3" s="129"/>
      <c r="G3" s="129"/>
      <c r="H3" s="129"/>
      <c r="I3" s="129"/>
      <c r="J3" s="130"/>
    </row>
    <row r="4" spans="1:26" x14ac:dyDescent="0.25">
      <c r="A4" s="131" t="s">
        <v>3</v>
      </c>
      <c r="B4" s="129"/>
      <c r="C4" s="130"/>
      <c r="D4" s="132">
        <f>FormSampel!B2</f>
        <v>110924</v>
      </c>
      <c r="E4" s="129"/>
      <c r="F4" s="129"/>
      <c r="G4" s="129"/>
      <c r="H4" s="129"/>
      <c r="I4" s="129"/>
      <c r="J4" s="130"/>
    </row>
    <row r="5" spans="1:26" ht="15" customHeight="1" x14ac:dyDescent="0.25">
      <c r="A5" s="133" t="s">
        <v>4</v>
      </c>
      <c r="B5" s="129"/>
      <c r="C5" s="129"/>
      <c r="D5" s="129"/>
      <c r="E5" s="129"/>
      <c r="F5" s="129"/>
      <c r="G5" s="129"/>
      <c r="H5" s="129"/>
      <c r="I5" s="129"/>
      <c r="J5" s="13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3" t="s">
        <v>5</v>
      </c>
      <c r="B6" s="129"/>
      <c r="C6" s="129"/>
      <c r="D6" s="129"/>
      <c r="E6" s="129"/>
      <c r="F6" s="129"/>
      <c r="G6" s="129"/>
      <c r="H6" s="129"/>
      <c r="I6" s="129"/>
      <c r="J6" s="130"/>
    </row>
    <row r="7" spans="1:26" ht="30" customHeight="1" x14ac:dyDescent="0.25">
      <c r="A7" s="134" t="s">
        <v>6</v>
      </c>
      <c r="B7" s="103"/>
      <c r="C7" s="135" t="s">
        <v>7</v>
      </c>
      <c r="D7" s="103"/>
      <c r="E7" s="103"/>
      <c r="F7" s="2" t="s">
        <v>8</v>
      </c>
      <c r="G7" s="126" t="s">
        <v>9</v>
      </c>
      <c r="H7" s="103"/>
      <c r="I7" s="103"/>
      <c r="J7" s="113"/>
    </row>
    <row r="8" spans="1:26" ht="15" customHeight="1" x14ac:dyDescent="0.25">
      <c r="A8" s="115" t="s">
        <v>10</v>
      </c>
      <c r="B8" s="110"/>
      <c r="C8" s="116" t="s">
        <v>11</v>
      </c>
      <c r="D8" s="110"/>
      <c r="E8" s="4"/>
      <c r="F8" s="5" t="s">
        <v>12</v>
      </c>
      <c r="G8" s="6" t="s">
        <v>13</v>
      </c>
      <c r="H8" s="6" t="s">
        <v>14</v>
      </c>
      <c r="I8" s="127"/>
      <c r="J8" s="111"/>
    </row>
    <row r="9" spans="1:26" ht="30" customHeight="1" x14ac:dyDescent="0.25">
      <c r="A9" s="123" t="s">
        <v>15</v>
      </c>
      <c r="B9" s="110"/>
      <c r="C9" s="116" t="s">
        <v>16</v>
      </c>
      <c r="D9" s="110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5" t="s">
        <v>20</v>
      </c>
      <c r="B10" s="110"/>
      <c r="C10" s="116" t="s">
        <v>21</v>
      </c>
      <c r="D10" s="110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3" t="s">
        <v>25</v>
      </c>
      <c r="B11" s="110"/>
      <c r="C11" s="124" t="s">
        <v>26</v>
      </c>
      <c r="D11" s="110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5" t="s">
        <v>30</v>
      </c>
      <c r="B12" s="110"/>
      <c r="C12" s="116" t="s">
        <v>31</v>
      </c>
      <c r="D12" s="110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5" t="s">
        <v>35</v>
      </c>
      <c r="B13" s="110"/>
      <c r="C13" s="116" t="s">
        <v>36</v>
      </c>
      <c r="D13" s="110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5" t="s">
        <v>40</v>
      </c>
      <c r="B14" s="110"/>
      <c r="C14" s="116" t="s">
        <v>41</v>
      </c>
      <c r="D14" s="110"/>
      <c r="E14" s="7"/>
      <c r="F14" s="125" t="s">
        <v>42</v>
      </c>
      <c r="G14" s="110"/>
      <c r="H14" s="110"/>
      <c r="I14" s="122" t="s">
        <v>43</v>
      </c>
      <c r="J14" s="111"/>
    </row>
    <row r="15" spans="1:26" ht="15" customHeight="1" x14ac:dyDescent="0.25">
      <c r="A15" s="115" t="s">
        <v>44</v>
      </c>
      <c r="B15" s="110"/>
      <c r="C15" s="116" t="s">
        <v>45</v>
      </c>
      <c r="D15" s="110"/>
      <c r="E15" s="7"/>
      <c r="F15" s="43" t="s">
        <v>74</v>
      </c>
      <c r="G15" s="120" t="str">
        <f>FormSampel!B14</f>
        <v>HC 16350373 - 2</v>
      </c>
      <c r="H15" s="120"/>
      <c r="I15" s="117">
        <f>FormSampel!C14</f>
        <v>45808</v>
      </c>
      <c r="J15" s="118"/>
    </row>
    <row r="16" spans="1:26" ht="15" customHeight="1" x14ac:dyDescent="0.25">
      <c r="A16" s="115" t="s">
        <v>46</v>
      </c>
      <c r="B16" s="110"/>
      <c r="C16" s="119" t="s">
        <v>47</v>
      </c>
      <c r="D16" s="110"/>
      <c r="E16" s="110"/>
      <c r="F16" s="44" t="s">
        <v>75</v>
      </c>
      <c r="G16" s="121" t="str">
        <f>FormSampel!B15</f>
        <v>HC 15161426 - 2</v>
      </c>
      <c r="H16" s="121"/>
      <c r="I16" s="117">
        <f>FormSampel!C15</f>
        <v>45716</v>
      </c>
      <c r="J16" s="118"/>
    </row>
    <row r="17" spans="1:26" ht="15" customHeight="1" x14ac:dyDescent="0.25">
      <c r="A17" s="3"/>
      <c r="B17" s="2"/>
      <c r="C17" s="13"/>
      <c r="D17" s="13"/>
      <c r="E17" s="13"/>
      <c r="F17" s="44" t="s">
        <v>76</v>
      </c>
      <c r="G17" s="121" t="str">
        <f>FormSampel!B16</f>
        <v>HC 14813176 - 2</v>
      </c>
      <c r="H17" s="121"/>
      <c r="I17" s="117">
        <f>FormSampel!C16</f>
        <v>45688</v>
      </c>
      <c r="J17" s="11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4" t="str">
        <f>FormSampel!B17</f>
        <v>HC 28942277 - 2</v>
      </c>
      <c r="H18" s="154"/>
      <c r="I18" s="149">
        <f>FormSampel!C17</f>
        <v>46142</v>
      </c>
      <c r="J18" s="150"/>
    </row>
    <row r="19" spans="1:26" x14ac:dyDescent="0.25">
      <c r="A19" s="151" t="s">
        <v>48</v>
      </c>
      <c r="B19" s="152"/>
      <c r="C19" s="152"/>
      <c r="D19" s="152"/>
      <c r="E19" s="152"/>
      <c r="F19" s="152"/>
      <c r="G19" s="152"/>
      <c r="H19" s="152"/>
      <c r="I19" s="152"/>
      <c r="J19" s="153"/>
    </row>
    <row r="20" spans="1:26" ht="26.25" customHeight="1" x14ac:dyDescent="0.25">
      <c r="A20" s="141" t="s">
        <v>49</v>
      </c>
      <c r="B20" s="137"/>
      <c r="C20" s="29">
        <f>FormSampel!G4</f>
        <v>13889.421</v>
      </c>
      <c r="D20" s="30" t="s">
        <v>50</v>
      </c>
      <c r="E20" s="31">
        <v>1000</v>
      </c>
      <c r="F20" s="136" t="s">
        <v>51</v>
      </c>
      <c r="G20" s="137"/>
      <c r="H20" s="138">
        <f>IF(AND(C21&lt;0.15),"&lt;0.15",C21)</f>
        <v>13.889421</v>
      </c>
      <c r="I20" s="139"/>
      <c r="J20" s="32" t="s">
        <v>52</v>
      </c>
    </row>
    <row r="21" spans="1:26" ht="15.75" customHeight="1" x14ac:dyDescent="0.25">
      <c r="A21" s="33" t="s">
        <v>53</v>
      </c>
      <c r="B21" s="34"/>
      <c r="C21" s="106">
        <f>C20/1000</f>
        <v>13.889421</v>
      </c>
      <c r="D21" s="107"/>
      <c r="E21" s="35"/>
      <c r="F21" s="34"/>
      <c r="G21" s="34"/>
      <c r="H21" s="34"/>
      <c r="I21" s="34"/>
      <c r="J21" s="32"/>
    </row>
    <row r="22" spans="1:26" ht="15.75" customHeight="1" x14ac:dyDescent="0.25">
      <c r="A22" s="142" t="s">
        <v>56</v>
      </c>
      <c r="B22" s="143"/>
      <c r="C22" s="143"/>
      <c r="D22" s="143"/>
      <c r="E22" s="143"/>
      <c r="F22" s="143"/>
      <c r="G22" s="143"/>
      <c r="H22" s="143"/>
      <c r="I22" s="143"/>
      <c r="J22" s="14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1" t="s">
        <v>49</v>
      </c>
      <c r="B23" s="137"/>
      <c r="C23" s="29">
        <f>FormSampel!H4</f>
        <v>59.57</v>
      </c>
      <c r="D23" s="30" t="s">
        <v>50</v>
      </c>
      <c r="E23" s="36">
        <v>1000</v>
      </c>
      <c r="F23" s="136" t="s">
        <v>51</v>
      </c>
      <c r="G23" s="137"/>
      <c r="H23" s="138" t="str">
        <f>IF(C24&lt;0.15,"&lt;0.15",C24)</f>
        <v>&lt;0.15</v>
      </c>
      <c r="I23" s="139"/>
      <c r="J23" s="32" t="s">
        <v>52</v>
      </c>
    </row>
    <row r="24" spans="1:26" ht="15.75" customHeight="1" x14ac:dyDescent="0.25">
      <c r="A24" s="33" t="s">
        <v>53</v>
      </c>
      <c r="B24" s="34"/>
      <c r="C24" s="106">
        <f>C23/1000</f>
        <v>5.9569999999999998E-2</v>
      </c>
      <c r="D24" s="107"/>
      <c r="E24" s="35"/>
      <c r="F24" s="34"/>
      <c r="G24" s="34"/>
      <c r="H24" s="34"/>
      <c r="I24" s="34"/>
      <c r="J24" s="32"/>
    </row>
    <row r="25" spans="1:26" ht="15.75" customHeight="1" x14ac:dyDescent="0.25">
      <c r="A25" s="142" t="s">
        <v>54</v>
      </c>
      <c r="B25" s="143"/>
      <c r="C25" s="143"/>
      <c r="D25" s="143"/>
      <c r="E25" s="143"/>
      <c r="F25" s="143"/>
      <c r="G25" s="143"/>
      <c r="H25" s="143"/>
      <c r="I25" s="143"/>
      <c r="J25" s="14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0" t="s">
        <v>49</v>
      </c>
      <c r="B26" s="110"/>
      <c r="C26" s="29">
        <f>FormSampel!I4</f>
        <v>11624.088</v>
      </c>
      <c r="D26" s="30" t="s">
        <v>50</v>
      </c>
      <c r="E26" s="36">
        <v>1000</v>
      </c>
      <c r="F26" s="145" t="s">
        <v>51</v>
      </c>
      <c r="G26" s="137"/>
      <c r="H26" s="138">
        <f>IF(AND(C27&lt;0.15),"&lt;0.15",C27)</f>
        <v>11.624088</v>
      </c>
      <c r="I26" s="139"/>
      <c r="J26" s="37" t="s">
        <v>52</v>
      </c>
    </row>
    <row r="27" spans="1:26" ht="15.75" customHeight="1" x14ac:dyDescent="0.25">
      <c r="A27" s="33" t="s">
        <v>53</v>
      </c>
      <c r="B27" s="34"/>
      <c r="C27" s="146">
        <f>C26/1000</f>
        <v>11.624088</v>
      </c>
      <c r="D27" s="147"/>
      <c r="E27" s="35"/>
      <c r="F27" s="34"/>
      <c r="G27" s="34"/>
      <c r="H27" s="34"/>
      <c r="I27" s="34"/>
      <c r="J27" s="32"/>
    </row>
    <row r="28" spans="1:26" ht="15.75" customHeight="1" x14ac:dyDescent="0.25">
      <c r="A28" s="142" t="s">
        <v>55</v>
      </c>
      <c r="B28" s="143"/>
      <c r="C28" s="143"/>
      <c r="D28" s="143"/>
      <c r="E28" s="143"/>
      <c r="F28" s="143"/>
      <c r="G28" s="143"/>
      <c r="H28" s="143"/>
      <c r="I28" s="143"/>
      <c r="J28" s="14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0" t="s">
        <v>49</v>
      </c>
      <c r="B29" s="110"/>
      <c r="C29" s="29">
        <f>FormSampel!J4</f>
        <v>755.33100000000002</v>
      </c>
      <c r="D29" s="30" t="s">
        <v>50</v>
      </c>
      <c r="E29" s="36">
        <v>1000</v>
      </c>
      <c r="F29" s="148" t="s">
        <v>51</v>
      </c>
      <c r="G29" s="110"/>
      <c r="H29" s="138">
        <f>IF(AND(C30&lt;0.15),"&lt;0.15",C30)</f>
        <v>0.75533099999999997</v>
      </c>
      <c r="I29" s="139"/>
      <c r="J29" s="32" t="s">
        <v>52</v>
      </c>
    </row>
    <row r="30" spans="1:26" ht="15.75" customHeight="1" x14ac:dyDescent="0.25">
      <c r="A30" s="33" t="s">
        <v>53</v>
      </c>
      <c r="B30" s="34"/>
      <c r="C30" s="106">
        <f>C29/1000</f>
        <v>0.75533099999999997</v>
      </c>
      <c r="D30" s="107"/>
      <c r="E30" s="35"/>
      <c r="F30" s="34"/>
      <c r="G30" s="34"/>
      <c r="H30" s="34"/>
      <c r="I30" s="34"/>
      <c r="J30" s="32"/>
    </row>
    <row r="31" spans="1:26" ht="15.75" customHeight="1" x14ac:dyDescent="0.25">
      <c r="A31" s="108" t="s">
        <v>57</v>
      </c>
      <c r="B31" s="10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9" t="s">
        <v>59</v>
      </c>
      <c r="C32" s="110"/>
      <c r="D32" s="110"/>
      <c r="E32" s="111"/>
      <c r="F32" s="1"/>
      <c r="G32" s="1"/>
      <c r="H32" s="1"/>
      <c r="I32" s="1"/>
      <c r="J32" s="16"/>
    </row>
    <row r="33" spans="1:26" ht="15.75" customHeight="1" x14ac:dyDescent="0.25">
      <c r="A33" s="20"/>
      <c r="B33" s="110"/>
      <c r="C33" s="110"/>
      <c r="D33" s="110"/>
      <c r="E33" s="111"/>
      <c r="F33" s="21"/>
      <c r="G33" s="1"/>
      <c r="H33" s="1"/>
      <c r="I33" s="1"/>
      <c r="J33" s="16"/>
    </row>
    <row r="34" spans="1:26" ht="15.75" customHeight="1" x14ac:dyDescent="0.25">
      <c r="A34" s="22"/>
      <c r="B34" s="109" t="s">
        <v>60</v>
      </c>
      <c r="C34" s="110"/>
      <c r="D34" s="110"/>
      <c r="E34" s="111"/>
      <c r="F34" s="1"/>
      <c r="G34" s="1"/>
      <c r="H34" s="1"/>
      <c r="I34" s="1"/>
      <c r="J34" s="16"/>
    </row>
    <row r="35" spans="1:26" ht="15.75" customHeight="1" x14ac:dyDescent="0.25">
      <c r="A35" s="22"/>
      <c r="B35" s="110"/>
      <c r="C35" s="110"/>
      <c r="D35" s="110"/>
      <c r="E35" s="11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2" t="s">
        <v>61</v>
      </c>
      <c r="B38" s="103"/>
      <c r="C38" s="103"/>
      <c r="D38" s="103"/>
      <c r="E38" s="113"/>
      <c r="F38" s="94" t="str">
        <f>FormSampel!B19</f>
        <v>PERMIT/AMIR/MAISARAH</v>
      </c>
      <c r="G38" s="95"/>
      <c r="H38" s="98">
        <f>FormSampel!B20</f>
        <v>45546</v>
      </c>
      <c r="I38" s="98"/>
      <c r="J38" s="99"/>
    </row>
    <row r="39" spans="1:26" ht="11.25" customHeight="1" x14ac:dyDescent="0.25">
      <c r="A39" s="104"/>
      <c r="B39" s="105"/>
      <c r="C39" s="105"/>
      <c r="D39" s="105"/>
      <c r="E39" s="114"/>
      <c r="F39" s="96"/>
      <c r="G39" s="97"/>
      <c r="H39" s="100"/>
      <c r="I39" s="100"/>
      <c r="J39" s="101"/>
    </row>
    <row r="40" spans="1:26" ht="15.75" customHeight="1" x14ac:dyDescent="0.25">
      <c r="A40" s="102" t="s">
        <v>62</v>
      </c>
      <c r="B40" s="103"/>
      <c r="C40" s="103"/>
      <c r="D40" s="103"/>
      <c r="E40" s="103"/>
      <c r="F40" s="27"/>
      <c r="G40" s="23"/>
      <c r="H40" s="23"/>
      <c r="I40" s="23"/>
      <c r="J40" s="16"/>
    </row>
    <row r="41" spans="1:26" ht="11.25" customHeight="1" x14ac:dyDescent="0.25">
      <c r="A41" s="104"/>
      <c r="B41" s="105"/>
      <c r="C41" s="105"/>
      <c r="D41" s="105"/>
      <c r="E41" s="10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I17:J17"/>
    <mergeCell ref="I18:J18"/>
    <mergeCell ref="A19:J19"/>
    <mergeCell ref="G18:H18"/>
    <mergeCell ref="G17:H17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I15:J15"/>
    <mergeCell ref="A16:B16"/>
    <mergeCell ref="C16:E16"/>
    <mergeCell ref="I16:J16"/>
    <mergeCell ref="G15:H15"/>
    <mergeCell ref="G16:H16"/>
    <mergeCell ref="F38:G39"/>
    <mergeCell ref="H38:J39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0A64A-B9AE-4B9B-A368-2E04AEC98E2E}">
  <sheetPr codeName="Sheet2"/>
  <dimension ref="A1:Z579"/>
  <sheetViews>
    <sheetView view="pageLayout" zoomScale="112" zoomScaleNormal="100" zoomScalePageLayoutView="112" workbookViewId="0">
      <selection activeCell="G32" sqref="G32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8" t="s">
        <v>0</v>
      </c>
      <c r="B1" s="129"/>
      <c r="C1" s="129"/>
      <c r="D1" s="129"/>
      <c r="E1" s="129"/>
      <c r="F1" s="129"/>
      <c r="G1" s="129"/>
      <c r="H1" s="129"/>
      <c r="I1" s="129"/>
      <c r="J1" s="130"/>
    </row>
    <row r="2" spans="1:26" x14ac:dyDescent="0.25">
      <c r="A2" s="128" t="s">
        <v>1</v>
      </c>
      <c r="B2" s="129"/>
      <c r="C2" s="129"/>
      <c r="D2" s="129"/>
      <c r="E2" s="129"/>
      <c r="F2" s="129"/>
      <c r="G2" s="129"/>
      <c r="H2" s="129"/>
      <c r="I2" s="129"/>
      <c r="J2" s="130"/>
    </row>
    <row r="3" spans="1:26" x14ac:dyDescent="0.25">
      <c r="A3" s="131" t="s">
        <v>2</v>
      </c>
      <c r="B3" s="129"/>
      <c r="C3" s="130"/>
      <c r="D3" s="132">
        <f>FormSampel!F5</f>
        <v>0</v>
      </c>
      <c r="E3" s="129"/>
      <c r="F3" s="129"/>
      <c r="G3" s="129"/>
      <c r="H3" s="129"/>
      <c r="I3" s="129"/>
      <c r="J3" s="130"/>
    </row>
    <row r="4" spans="1:26" x14ac:dyDescent="0.25">
      <c r="A4" s="131" t="s">
        <v>3</v>
      </c>
      <c r="B4" s="129"/>
      <c r="C4" s="130"/>
      <c r="D4" s="132">
        <f>FormSampel!B2</f>
        <v>110924</v>
      </c>
      <c r="E4" s="129"/>
      <c r="F4" s="129"/>
      <c r="G4" s="129"/>
      <c r="H4" s="129"/>
      <c r="I4" s="129"/>
      <c r="J4" s="130"/>
    </row>
    <row r="5" spans="1:26" ht="15" customHeight="1" x14ac:dyDescent="0.25">
      <c r="A5" s="133" t="s">
        <v>4</v>
      </c>
      <c r="B5" s="129"/>
      <c r="C5" s="129"/>
      <c r="D5" s="129"/>
      <c r="E5" s="129"/>
      <c r="F5" s="129"/>
      <c r="G5" s="129"/>
      <c r="H5" s="129"/>
      <c r="I5" s="129"/>
      <c r="J5" s="13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3" t="s">
        <v>5</v>
      </c>
      <c r="B6" s="129"/>
      <c r="C6" s="129"/>
      <c r="D6" s="129"/>
      <c r="E6" s="129"/>
      <c r="F6" s="129"/>
      <c r="G6" s="129"/>
      <c r="H6" s="129"/>
      <c r="I6" s="129"/>
      <c r="J6" s="130"/>
    </row>
    <row r="7" spans="1:26" ht="30" customHeight="1" x14ac:dyDescent="0.25">
      <c r="A7" s="134" t="s">
        <v>6</v>
      </c>
      <c r="B7" s="103"/>
      <c r="C7" s="135" t="s">
        <v>7</v>
      </c>
      <c r="D7" s="103"/>
      <c r="E7" s="103"/>
      <c r="F7" s="42" t="s">
        <v>8</v>
      </c>
      <c r="G7" s="126" t="s">
        <v>9</v>
      </c>
      <c r="H7" s="103"/>
      <c r="I7" s="103"/>
      <c r="J7" s="113"/>
    </row>
    <row r="8" spans="1:26" ht="15" customHeight="1" x14ac:dyDescent="0.25">
      <c r="A8" s="115" t="s">
        <v>10</v>
      </c>
      <c r="B8" s="110"/>
      <c r="C8" s="116" t="s">
        <v>11</v>
      </c>
      <c r="D8" s="110"/>
      <c r="E8" s="4"/>
      <c r="F8" s="38" t="s">
        <v>12</v>
      </c>
      <c r="G8" s="6" t="s">
        <v>13</v>
      </c>
      <c r="H8" s="6" t="s">
        <v>14</v>
      </c>
      <c r="I8" s="127"/>
      <c r="J8" s="111"/>
    </row>
    <row r="9" spans="1:26" ht="30" customHeight="1" x14ac:dyDescent="0.25">
      <c r="A9" s="123" t="s">
        <v>15</v>
      </c>
      <c r="B9" s="110"/>
      <c r="C9" s="116" t="s">
        <v>16</v>
      </c>
      <c r="D9" s="110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5" t="s">
        <v>20</v>
      </c>
      <c r="B10" s="110"/>
      <c r="C10" s="116" t="s">
        <v>21</v>
      </c>
      <c r="D10" s="110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3" t="s">
        <v>25</v>
      </c>
      <c r="B11" s="110"/>
      <c r="C11" s="124" t="s">
        <v>26</v>
      </c>
      <c r="D11" s="110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5" t="s">
        <v>30</v>
      </c>
      <c r="B12" s="110"/>
      <c r="C12" s="116" t="s">
        <v>31</v>
      </c>
      <c r="D12" s="110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5" t="s">
        <v>35</v>
      </c>
      <c r="B13" s="110"/>
      <c r="C13" s="116" t="s">
        <v>36</v>
      </c>
      <c r="D13" s="110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5" t="s">
        <v>40</v>
      </c>
      <c r="B14" s="110"/>
      <c r="C14" s="116" t="s">
        <v>41</v>
      </c>
      <c r="D14" s="110"/>
      <c r="E14" s="7"/>
      <c r="F14" s="125" t="s">
        <v>42</v>
      </c>
      <c r="G14" s="110"/>
      <c r="H14" s="110"/>
      <c r="I14" s="122" t="s">
        <v>43</v>
      </c>
      <c r="J14" s="111"/>
    </row>
    <row r="15" spans="1:26" ht="15" customHeight="1" x14ac:dyDescent="0.25">
      <c r="A15" s="115" t="s">
        <v>44</v>
      </c>
      <c r="B15" s="110"/>
      <c r="C15" s="116" t="s">
        <v>45</v>
      </c>
      <c r="D15" s="110"/>
      <c r="E15" s="7"/>
      <c r="F15" s="43" t="s">
        <v>74</v>
      </c>
      <c r="G15" s="120" t="str">
        <f>FormSampel!B14</f>
        <v>HC 16350373 - 2</v>
      </c>
      <c r="H15" s="120"/>
      <c r="I15" s="117">
        <f>FormSampel!C14</f>
        <v>45808</v>
      </c>
      <c r="J15" s="118"/>
    </row>
    <row r="16" spans="1:26" ht="15" customHeight="1" x14ac:dyDescent="0.25">
      <c r="A16" s="115" t="s">
        <v>46</v>
      </c>
      <c r="B16" s="110"/>
      <c r="C16" s="119" t="s">
        <v>47</v>
      </c>
      <c r="D16" s="110"/>
      <c r="E16" s="110"/>
      <c r="F16" s="44" t="s">
        <v>75</v>
      </c>
      <c r="G16" s="121" t="str">
        <f>FormSampel!B15</f>
        <v>HC 15161426 - 2</v>
      </c>
      <c r="H16" s="121"/>
      <c r="I16" s="117">
        <f>FormSampel!C15</f>
        <v>45716</v>
      </c>
      <c r="J16" s="118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1" t="str">
        <f>FormSampel!B16</f>
        <v>HC 14813176 - 2</v>
      </c>
      <c r="H17" s="121"/>
      <c r="I17" s="117">
        <f>FormSampel!C16</f>
        <v>45688</v>
      </c>
      <c r="J17" s="11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4" t="str">
        <f>FormSampel!B17</f>
        <v>HC 28942277 - 2</v>
      </c>
      <c r="H18" s="154"/>
      <c r="I18" s="149">
        <f>FormSampel!C17</f>
        <v>46142</v>
      </c>
      <c r="J18" s="150"/>
    </row>
    <row r="19" spans="1:26" x14ac:dyDescent="0.25">
      <c r="A19" s="151" t="s">
        <v>48</v>
      </c>
      <c r="B19" s="152"/>
      <c r="C19" s="152"/>
      <c r="D19" s="152"/>
      <c r="E19" s="152"/>
      <c r="F19" s="152"/>
      <c r="G19" s="152"/>
      <c r="H19" s="152"/>
      <c r="I19" s="152"/>
      <c r="J19" s="153"/>
    </row>
    <row r="20" spans="1:26" ht="26.25" customHeight="1" x14ac:dyDescent="0.25">
      <c r="A20" s="141" t="s">
        <v>49</v>
      </c>
      <c r="B20" s="137"/>
      <c r="C20" s="29">
        <f>FormSampel!G5</f>
        <v>0</v>
      </c>
      <c r="D20" s="30" t="s">
        <v>50</v>
      </c>
      <c r="E20" s="31">
        <v>1000</v>
      </c>
      <c r="F20" s="136" t="s">
        <v>51</v>
      </c>
      <c r="G20" s="137"/>
      <c r="H20" s="138" t="str">
        <f>IF(AND(C21&lt;0.15),"&lt;0.15",C21)</f>
        <v>&lt;0.15</v>
      </c>
      <c r="I20" s="139"/>
      <c r="J20" s="32" t="s">
        <v>52</v>
      </c>
    </row>
    <row r="21" spans="1:26" ht="15.75" customHeight="1" x14ac:dyDescent="0.25">
      <c r="A21" s="33" t="s">
        <v>53</v>
      </c>
      <c r="B21" s="34"/>
      <c r="C21" s="106">
        <f>C20/1000</f>
        <v>0</v>
      </c>
      <c r="D21" s="107"/>
      <c r="E21" s="35"/>
      <c r="F21" s="34"/>
      <c r="G21" s="34"/>
      <c r="H21" s="34"/>
      <c r="I21" s="34"/>
      <c r="J21" s="32"/>
    </row>
    <row r="22" spans="1:26" ht="15.75" customHeight="1" x14ac:dyDescent="0.25">
      <c r="A22" s="142" t="s">
        <v>56</v>
      </c>
      <c r="B22" s="143"/>
      <c r="C22" s="143"/>
      <c r="D22" s="143"/>
      <c r="E22" s="143"/>
      <c r="F22" s="143"/>
      <c r="G22" s="143"/>
      <c r="H22" s="143"/>
      <c r="I22" s="143"/>
      <c r="J22" s="14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1" t="s">
        <v>49</v>
      </c>
      <c r="B23" s="137"/>
      <c r="C23" s="29">
        <f>FormSampel!H5</f>
        <v>0</v>
      </c>
      <c r="D23" s="30" t="s">
        <v>50</v>
      </c>
      <c r="E23" s="36">
        <v>1000</v>
      </c>
      <c r="F23" s="136" t="s">
        <v>51</v>
      </c>
      <c r="G23" s="137"/>
      <c r="H23" s="138" t="str">
        <f>IF(C24&lt;0.15,"&lt;0.15",C24)</f>
        <v>&lt;0.15</v>
      </c>
      <c r="I23" s="139"/>
      <c r="J23" s="32" t="s">
        <v>52</v>
      </c>
    </row>
    <row r="24" spans="1:26" ht="15.75" customHeight="1" x14ac:dyDescent="0.25">
      <c r="A24" s="33" t="s">
        <v>53</v>
      </c>
      <c r="B24" s="34"/>
      <c r="C24" s="106">
        <f>C23/1000</f>
        <v>0</v>
      </c>
      <c r="D24" s="107"/>
      <c r="E24" s="35"/>
      <c r="F24" s="34"/>
      <c r="G24" s="34"/>
      <c r="H24" s="34"/>
      <c r="I24" s="34"/>
      <c r="J24" s="32"/>
    </row>
    <row r="25" spans="1:26" ht="15.75" customHeight="1" x14ac:dyDescent="0.25">
      <c r="A25" s="142" t="s">
        <v>54</v>
      </c>
      <c r="B25" s="143"/>
      <c r="C25" s="143"/>
      <c r="D25" s="143"/>
      <c r="E25" s="143"/>
      <c r="F25" s="143"/>
      <c r="G25" s="143"/>
      <c r="H25" s="143"/>
      <c r="I25" s="143"/>
      <c r="J25" s="14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0" t="s">
        <v>49</v>
      </c>
      <c r="B26" s="110"/>
      <c r="C26" s="29">
        <f>FormSampel!I5</f>
        <v>0</v>
      </c>
      <c r="D26" s="30" t="s">
        <v>50</v>
      </c>
      <c r="E26" s="36">
        <v>1000</v>
      </c>
      <c r="F26" s="145" t="s">
        <v>51</v>
      </c>
      <c r="G26" s="137"/>
      <c r="H26" s="138" t="str">
        <f>IF(AND(C27&lt;0.15),"&lt;0.15",C27)</f>
        <v>&lt;0.15</v>
      </c>
      <c r="I26" s="139"/>
      <c r="J26" s="37" t="s">
        <v>52</v>
      </c>
    </row>
    <row r="27" spans="1:26" ht="15.75" customHeight="1" x14ac:dyDescent="0.25">
      <c r="A27" s="33" t="s">
        <v>53</v>
      </c>
      <c r="B27" s="34"/>
      <c r="C27" s="146">
        <f>C26/1000</f>
        <v>0</v>
      </c>
      <c r="D27" s="147"/>
      <c r="E27" s="35"/>
      <c r="F27" s="34"/>
      <c r="G27" s="34"/>
      <c r="H27" s="34"/>
      <c r="I27" s="34"/>
      <c r="J27" s="32"/>
    </row>
    <row r="28" spans="1:26" ht="15.75" customHeight="1" x14ac:dyDescent="0.25">
      <c r="A28" s="142" t="s">
        <v>55</v>
      </c>
      <c r="B28" s="143"/>
      <c r="C28" s="143"/>
      <c r="D28" s="143"/>
      <c r="E28" s="143"/>
      <c r="F28" s="143"/>
      <c r="G28" s="143"/>
      <c r="H28" s="143"/>
      <c r="I28" s="143"/>
      <c r="J28" s="14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0" t="s">
        <v>49</v>
      </c>
      <c r="B29" s="110"/>
      <c r="C29" s="29">
        <f>FormSampel!J5</f>
        <v>0</v>
      </c>
      <c r="D29" s="30" t="s">
        <v>50</v>
      </c>
      <c r="E29" s="36">
        <v>1000</v>
      </c>
      <c r="F29" s="148" t="s">
        <v>51</v>
      </c>
      <c r="G29" s="110"/>
      <c r="H29" s="138" t="str">
        <f>IF(AND(C30&lt;0.15),"&lt;0.15",C30)</f>
        <v>&lt;0.15</v>
      </c>
      <c r="I29" s="139"/>
      <c r="J29" s="32" t="s">
        <v>52</v>
      </c>
    </row>
    <row r="30" spans="1:26" ht="15.75" customHeight="1" x14ac:dyDescent="0.25">
      <c r="A30" s="33" t="s">
        <v>53</v>
      </c>
      <c r="B30" s="34"/>
      <c r="C30" s="106">
        <f>C29/1000</f>
        <v>0</v>
      </c>
      <c r="D30" s="107"/>
      <c r="E30" s="35"/>
      <c r="F30" s="34"/>
      <c r="G30" s="34"/>
      <c r="H30" s="34"/>
      <c r="I30" s="34"/>
      <c r="J30" s="32"/>
    </row>
    <row r="31" spans="1:26" ht="15.75" customHeight="1" x14ac:dyDescent="0.25">
      <c r="A31" s="108" t="s">
        <v>57</v>
      </c>
      <c r="B31" s="10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9" t="s">
        <v>59</v>
      </c>
      <c r="C32" s="110"/>
      <c r="D32" s="110"/>
      <c r="E32" s="111"/>
      <c r="F32" s="1"/>
      <c r="G32" s="1"/>
      <c r="H32" s="1"/>
      <c r="I32" s="1"/>
      <c r="J32" s="16"/>
    </row>
    <row r="33" spans="1:26" ht="15.75" customHeight="1" x14ac:dyDescent="0.25">
      <c r="A33" s="20"/>
      <c r="B33" s="110"/>
      <c r="C33" s="110"/>
      <c r="D33" s="110"/>
      <c r="E33" s="111"/>
      <c r="F33" s="21"/>
      <c r="G33" s="1"/>
      <c r="H33" s="1"/>
      <c r="I33" s="1"/>
      <c r="J33" s="16"/>
    </row>
    <row r="34" spans="1:26" ht="15.75" customHeight="1" x14ac:dyDescent="0.25">
      <c r="A34" s="22"/>
      <c r="B34" s="109" t="s">
        <v>60</v>
      </c>
      <c r="C34" s="110"/>
      <c r="D34" s="110"/>
      <c r="E34" s="111"/>
      <c r="F34" s="1"/>
      <c r="G34" s="1"/>
      <c r="H34" s="1"/>
      <c r="I34" s="1"/>
      <c r="J34" s="16"/>
    </row>
    <row r="35" spans="1:26" ht="15.75" customHeight="1" x14ac:dyDescent="0.25">
      <c r="A35" s="22"/>
      <c r="B35" s="110"/>
      <c r="C35" s="110"/>
      <c r="D35" s="110"/>
      <c r="E35" s="11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2" t="s">
        <v>61</v>
      </c>
      <c r="B38" s="103"/>
      <c r="C38" s="103"/>
      <c r="D38" s="103"/>
      <c r="E38" s="113"/>
      <c r="F38" s="94" t="str">
        <f>FormSampel!B19</f>
        <v>PERMIT/AMIR/MAISARAH</v>
      </c>
      <c r="G38" s="95"/>
      <c r="H38" s="98">
        <f>FormSampel!B20</f>
        <v>45546</v>
      </c>
      <c r="I38" s="98"/>
      <c r="J38" s="99"/>
    </row>
    <row r="39" spans="1:26" ht="11.25" customHeight="1" x14ac:dyDescent="0.25">
      <c r="A39" s="104"/>
      <c r="B39" s="105"/>
      <c r="C39" s="105"/>
      <c r="D39" s="105"/>
      <c r="E39" s="114"/>
      <c r="F39" s="96"/>
      <c r="G39" s="97"/>
      <c r="H39" s="100"/>
      <c r="I39" s="100"/>
      <c r="J39" s="101"/>
    </row>
    <row r="40" spans="1:26" ht="15.75" customHeight="1" x14ac:dyDescent="0.25">
      <c r="A40" s="102" t="s">
        <v>62</v>
      </c>
      <c r="B40" s="103"/>
      <c r="C40" s="103"/>
      <c r="D40" s="103"/>
      <c r="E40" s="103"/>
      <c r="F40" s="27"/>
      <c r="G40" s="23"/>
      <c r="H40" s="23"/>
      <c r="I40" s="23"/>
      <c r="J40" s="16"/>
    </row>
    <row r="41" spans="1:26" ht="11.25" customHeight="1" x14ac:dyDescent="0.25">
      <c r="A41" s="104"/>
      <c r="B41" s="105"/>
      <c r="C41" s="105"/>
      <c r="D41" s="105"/>
      <c r="E41" s="10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11BE1-83FF-4C7D-A0B6-93773B52196B}">
  <sheetPr codeName="Sheet3"/>
  <dimension ref="A1:Z579"/>
  <sheetViews>
    <sheetView view="pageLayout" topLeftCell="A16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8" t="s">
        <v>0</v>
      </c>
      <c r="B1" s="129"/>
      <c r="C1" s="129"/>
      <c r="D1" s="129"/>
      <c r="E1" s="129"/>
      <c r="F1" s="129"/>
      <c r="G1" s="129"/>
      <c r="H1" s="129"/>
      <c r="I1" s="129"/>
      <c r="J1" s="130"/>
    </row>
    <row r="2" spans="1:26" x14ac:dyDescent="0.25">
      <c r="A2" s="128" t="s">
        <v>1</v>
      </c>
      <c r="B2" s="129"/>
      <c r="C2" s="129"/>
      <c r="D2" s="129"/>
      <c r="E2" s="129"/>
      <c r="F2" s="129"/>
      <c r="G2" s="129"/>
      <c r="H2" s="129"/>
      <c r="I2" s="129"/>
      <c r="J2" s="130"/>
    </row>
    <row r="3" spans="1:26" x14ac:dyDescent="0.25">
      <c r="A3" s="131" t="s">
        <v>2</v>
      </c>
      <c r="B3" s="129"/>
      <c r="C3" s="130"/>
      <c r="D3" s="132">
        <f>FormSampel!F6</f>
        <v>0</v>
      </c>
      <c r="E3" s="129"/>
      <c r="F3" s="129"/>
      <c r="G3" s="129"/>
      <c r="H3" s="129"/>
      <c r="I3" s="129"/>
      <c r="J3" s="130"/>
    </row>
    <row r="4" spans="1:26" x14ac:dyDescent="0.25">
      <c r="A4" s="131" t="s">
        <v>3</v>
      </c>
      <c r="B4" s="129"/>
      <c r="C4" s="130"/>
      <c r="D4" s="132">
        <f>FormSampel!B2</f>
        <v>110924</v>
      </c>
      <c r="E4" s="129"/>
      <c r="F4" s="129"/>
      <c r="G4" s="129"/>
      <c r="H4" s="129"/>
      <c r="I4" s="129"/>
      <c r="J4" s="130"/>
    </row>
    <row r="5" spans="1:26" ht="15" customHeight="1" x14ac:dyDescent="0.25">
      <c r="A5" s="133" t="s">
        <v>4</v>
      </c>
      <c r="B5" s="129"/>
      <c r="C5" s="129"/>
      <c r="D5" s="129"/>
      <c r="E5" s="129"/>
      <c r="F5" s="129"/>
      <c r="G5" s="129"/>
      <c r="H5" s="129"/>
      <c r="I5" s="129"/>
      <c r="J5" s="13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3" t="s">
        <v>5</v>
      </c>
      <c r="B6" s="129"/>
      <c r="C6" s="129"/>
      <c r="D6" s="129"/>
      <c r="E6" s="129"/>
      <c r="F6" s="129"/>
      <c r="G6" s="129"/>
      <c r="H6" s="129"/>
      <c r="I6" s="129"/>
      <c r="J6" s="130"/>
    </row>
    <row r="7" spans="1:26" ht="30" customHeight="1" x14ac:dyDescent="0.25">
      <c r="A7" s="134" t="s">
        <v>6</v>
      </c>
      <c r="B7" s="103"/>
      <c r="C7" s="135" t="s">
        <v>7</v>
      </c>
      <c r="D7" s="103"/>
      <c r="E7" s="103"/>
      <c r="F7" s="42" t="s">
        <v>8</v>
      </c>
      <c r="G7" s="126" t="s">
        <v>9</v>
      </c>
      <c r="H7" s="103"/>
      <c r="I7" s="103"/>
      <c r="J7" s="113"/>
    </row>
    <row r="8" spans="1:26" ht="15" customHeight="1" x14ac:dyDescent="0.25">
      <c r="A8" s="115" t="s">
        <v>10</v>
      </c>
      <c r="B8" s="110"/>
      <c r="C8" s="116" t="s">
        <v>11</v>
      </c>
      <c r="D8" s="110"/>
      <c r="E8" s="4"/>
      <c r="F8" s="38" t="s">
        <v>12</v>
      </c>
      <c r="G8" s="6" t="s">
        <v>13</v>
      </c>
      <c r="H8" s="6" t="s">
        <v>14</v>
      </c>
      <c r="I8" s="127"/>
      <c r="J8" s="111"/>
    </row>
    <row r="9" spans="1:26" ht="30" customHeight="1" x14ac:dyDescent="0.25">
      <c r="A9" s="123" t="s">
        <v>15</v>
      </c>
      <c r="B9" s="110"/>
      <c r="C9" s="116" t="s">
        <v>16</v>
      </c>
      <c r="D9" s="110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5" t="s">
        <v>20</v>
      </c>
      <c r="B10" s="110"/>
      <c r="C10" s="116" t="s">
        <v>21</v>
      </c>
      <c r="D10" s="110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3" t="s">
        <v>25</v>
      </c>
      <c r="B11" s="110"/>
      <c r="C11" s="124" t="s">
        <v>26</v>
      </c>
      <c r="D11" s="110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5" t="s">
        <v>30</v>
      </c>
      <c r="B12" s="110"/>
      <c r="C12" s="116" t="s">
        <v>31</v>
      </c>
      <c r="D12" s="110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5" t="s">
        <v>35</v>
      </c>
      <c r="B13" s="110"/>
      <c r="C13" s="116" t="s">
        <v>36</v>
      </c>
      <c r="D13" s="110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5" t="s">
        <v>40</v>
      </c>
      <c r="B14" s="110"/>
      <c r="C14" s="116" t="s">
        <v>41</v>
      </c>
      <c r="D14" s="110"/>
      <c r="E14" s="7"/>
      <c r="F14" s="125" t="s">
        <v>42</v>
      </c>
      <c r="G14" s="110"/>
      <c r="H14" s="110"/>
      <c r="I14" s="122" t="s">
        <v>43</v>
      </c>
      <c r="J14" s="111"/>
    </row>
    <row r="15" spans="1:26" ht="15" customHeight="1" x14ac:dyDescent="0.25">
      <c r="A15" s="115" t="s">
        <v>44</v>
      </c>
      <c r="B15" s="110"/>
      <c r="C15" s="116" t="s">
        <v>45</v>
      </c>
      <c r="D15" s="110"/>
      <c r="E15" s="7"/>
      <c r="F15" s="43" t="s">
        <v>74</v>
      </c>
      <c r="G15" s="120" t="str">
        <f>FormSampel!B14</f>
        <v>HC 16350373 - 2</v>
      </c>
      <c r="H15" s="120"/>
      <c r="I15" s="117">
        <f>FormSampel!C14</f>
        <v>45808</v>
      </c>
      <c r="J15" s="118"/>
    </row>
    <row r="16" spans="1:26" ht="15" customHeight="1" x14ac:dyDescent="0.25">
      <c r="A16" s="115" t="s">
        <v>46</v>
      </c>
      <c r="B16" s="110"/>
      <c r="C16" s="119" t="s">
        <v>47</v>
      </c>
      <c r="D16" s="110"/>
      <c r="E16" s="110"/>
      <c r="F16" s="44" t="s">
        <v>75</v>
      </c>
      <c r="G16" s="121" t="str">
        <f>FormSampel!B15</f>
        <v>HC 15161426 - 2</v>
      </c>
      <c r="H16" s="121"/>
      <c r="I16" s="117">
        <f>FormSampel!C15</f>
        <v>45716</v>
      </c>
      <c r="J16" s="118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1" t="str">
        <f>FormSampel!B16</f>
        <v>HC 14813176 - 2</v>
      </c>
      <c r="H17" s="121"/>
      <c r="I17" s="117">
        <f>FormSampel!C16</f>
        <v>45688</v>
      </c>
      <c r="J17" s="11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4" t="str">
        <f>FormSampel!B17</f>
        <v>HC 28942277 - 2</v>
      </c>
      <c r="H18" s="154"/>
      <c r="I18" s="149">
        <f>FormSampel!C17</f>
        <v>46142</v>
      </c>
      <c r="J18" s="150"/>
    </row>
    <row r="19" spans="1:26" x14ac:dyDescent="0.25">
      <c r="A19" s="151" t="s">
        <v>48</v>
      </c>
      <c r="B19" s="152"/>
      <c r="C19" s="152"/>
      <c r="D19" s="152"/>
      <c r="E19" s="152"/>
      <c r="F19" s="152"/>
      <c r="G19" s="152"/>
      <c r="H19" s="152"/>
      <c r="I19" s="152"/>
      <c r="J19" s="153"/>
    </row>
    <row r="20" spans="1:26" ht="26.25" customHeight="1" x14ac:dyDescent="0.25">
      <c r="A20" s="141" t="s">
        <v>49</v>
      </c>
      <c r="B20" s="137"/>
      <c r="C20" s="29">
        <f>FormSampel!G6</f>
        <v>0</v>
      </c>
      <c r="D20" s="30" t="s">
        <v>50</v>
      </c>
      <c r="E20" s="31">
        <v>1000</v>
      </c>
      <c r="F20" s="136" t="s">
        <v>51</v>
      </c>
      <c r="G20" s="137"/>
      <c r="H20" s="138" t="str">
        <f>IF(AND(C21&lt;0.15),"&lt;0.15",C21)</f>
        <v>&lt;0.15</v>
      </c>
      <c r="I20" s="139"/>
      <c r="J20" s="32" t="s">
        <v>52</v>
      </c>
    </row>
    <row r="21" spans="1:26" ht="15.75" customHeight="1" x14ac:dyDescent="0.25">
      <c r="A21" s="33" t="s">
        <v>53</v>
      </c>
      <c r="B21" s="34"/>
      <c r="C21" s="106">
        <f>C20/1000</f>
        <v>0</v>
      </c>
      <c r="D21" s="107"/>
      <c r="E21" s="35"/>
      <c r="F21" s="34"/>
      <c r="G21" s="34"/>
      <c r="H21" s="34"/>
      <c r="I21" s="34"/>
      <c r="J21" s="32"/>
    </row>
    <row r="22" spans="1:26" ht="15.75" customHeight="1" x14ac:dyDescent="0.25">
      <c r="A22" s="142" t="s">
        <v>56</v>
      </c>
      <c r="B22" s="143"/>
      <c r="C22" s="143"/>
      <c r="D22" s="143"/>
      <c r="E22" s="143"/>
      <c r="F22" s="143"/>
      <c r="G22" s="143"/>
      <c r="H22" s="143"/>
      <c r="I22" s="143"/>
      <c r="J22" s="14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1" t="s">
        <v>49</v>
      </c>
      <c r="B23" s="137"/>
      <c r="C23" s="29">
        <f>FormSampel!H6</f>
        <v>0</v>
      </c>
      <c r="D23" s="30" t="s">
        <v>50</v>
      </c>
      <c r="E23" s="36">
        <v>1000</v>
      </c>
      <c r="F23" s="136" t="s">
        <v>51</v>
      </c>
      <c r="G23" s="137"/>
      <c r="H23" s="138" t="str">
        <f>IF(C24&lt;0.15,"&lt;0.15",C24)</f>
        <v>&lt;0.15</v>
      </c>
      <c r="I23" s="139"/>
      <c r="J23" s="32" t="s">
        <v>52</v>
      </c>
    </row>
    <row r="24" spans="1:26" ht="15.75" customHeight="1" x14ac:dyDescent="0.25">
      <c r="A24" s="33" t="s">
        <v>53</v>
      </c>
      <c r="B24" s="34"/>
      <c r="C24" s="106">
        <f>C23/1000</f>
        <v>0</v>
      </c>
      <c r="D24" s="107"/>
      <c r="E24" s="35"/>
      <c r="F24" s="34"/>
      <c r="G24" s="34"/>
      <c r="H24" s="34"/>
      <c r="I24" s="34"/>
      <c r="J24" s="32"/>
    </row>
    <row r="25" spans="1:26" ht="15.75" customHeight="1" x14ac:dyDescent="0.25">
      <c r="A25" s="142" t="s">
        <v>54</v>
      </c>
      <c r="B25" s="143"/>
      <c r="C25" s="143"/>
      <c r="D25" s="143"/>
      <c r="E25" s="143"/>
      <c r="F25" s="143"/>
      <c r="G25" s="143"/>
      <c r="H25" s="143"/>
      <c r="I25" s="143"/>
      <c r="J25" s="14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0" t="s">
        <v>49</v>
      </c>
      <c r="B26" s="110"/>
      <c r="C26" s="29">
        <f>FormSampel!I6</f>
        <v>0</v>
      </c>
      <c r="D26" s="30" t="s">
        <v>50</v>
      </c>
      <c r="E26" s="36">
        <v>1000</v>
      </c>
      <c r="F26" s="145" t="s">
        <v>51</v>
      </c>
      <c r="G26" s="137"/>
      <c r="H26" s="138" t="str">
        <f>IF(AND(C27&lt;0.15),"&lt;0.15",C27)</f>
        <v>&lt;0.15</v>
      </c>
      <c r="I26" s="139"/>
      <c r="J26" s="37" t="s">
        <v>52</v>
      </c>
    </row>
    <row r="27" spans="1:26" ht="15.75" customHeight="1" x14ac:dyDescent="0.25">
      <c r="A27" s="33" t="s">
        <v>53</v>
      </c>
      <c r="B27" s="34"/>
      <c r="C27" s="146">
        <f>C26/1000</f>
        <v>0</v>
      </c>
      <c r="D27" s="147"/>
      <c r="E27" s="35"/>
      <c r="F27" s="34"/>
      <c r="G27" s="34"/>
      <c r="H27" s="34"/>
      <c r="I27" s="34"/>
      <c r="J27" s="32"/>
    </row>
    <row r="28" spans="1:26" ht="15.75" customHeight="1" x14ac:dyDescent="0.25">
      <c r="A28" s="142" t="s">
        <v>55</v>
      </c>
      <c r="B28" s="143"/>
      <c r="C28" s="143"/>
      <c r="D28" s="143"/>
      <c r="E28" s="143"/>
      <c r="F28" s="143"/>
      <c r="G28" s="143"/>
      <c r="H28" s="143"/>
      <c r="I28" s="143"/>
      <c r="J28" s="14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0" t="s">
        <v>49</v>
      </c>
      <c r="B29" s="110"/>
      <c r="C29" s="29">
        <f>FormSampel!J6</f>
        <v>0</v>
      </c>
      <c r="D29" s="30" t="s">
        <v>50</v>
      </c>
      <c r="E29" s="36">
        <v>1000</v>
      </c>
      <c r="F29" s="148" t="s">
        <v>51</v>
      </c>
      <c r="G29" s="110"/>
      <c r="H29" s="138" t="str">
        <f>IF(AND(C30&lt;0.15),"&lt;0.15",C30)</f>
        <v>&lt;0.15</v>
      </c>
      <c r="I29" s="139"/>
      <c r="J29" s="32" t="s">
        <v>52</v>
      </c>
    </row>
    <row r="30" spans="1:26" ht="15.75" customHeight="1" x14ac:dyDescent="0.25">
      <c r="A30" s="33" t="s">
        <v>53</v>
      </c>
      <c r="B30" s="34"/>
      <c r="C30" s="106">
        <f>C29/1000</f>
        <v>0</v>
      </c>
      <c r="D30" s="107"/>
      <c r="E30" s="35"/>
      <c r="F30" s="34"/>
      <c r="G30" s="34"/>
      <c r="H30" s="34"/>
      <c r="I30" s="34"/>
      <c r="J30" s="32"/>
    </row>
    <row r="31" spans="1:26" ht="15.75" customHeight="1" x14ac:dyDescent="0.25">
      <c r="A31" s="108" t="s">
        <v>57</v>
      </c>
      <c r="B31" s="10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9" t="s">
        <v>59</v>
      </c>
      <c r="C32" s="110"/>
      <c r="D32" s="110"/>
      <c r="E32" s="111"/>
      <c r="F32" s="1"/>
      <c r="G32" s="1"/>
      <c r="H32" s="1"/>
      <c r="I32" s="1"/>
      <c r="J32" s="16"/>
    </row>
    <row r="33" spans="1:26" ht="15.75" customHeight="1" x14ac:dyDescent="0.25">
      <c r="A33" s="20"/>
      <c r="B33" s="110"/>
      <c r="C33" s="110"/>
      <c r="D33" s="110"/>
      <c r="E33" s="111"/>
      <c r="F33" s="21"/>
      <c r="G33" s="1"/>
      <c r="H33" s="1"/>
      <c r="I33" s="1"/>
      <c r="J33" s="16"/>
    </row>
    <row r="34" spans="1:26" ht="15.75" customHeight="1" x14ac:dyDescent="0.25">
      <c r="A34" s="22"/>
      <c r="B34" s="109" t="s">
        <v>60</v>
      </c>
      <c r="C34" s="110"/>
      <c r="D34" s="110"/>
      <c r="E34" s="111"/>
      <c r="F34" s="1"/>
      <c r="G34" s="1"/>
      <c r="H34" s="1"/>
      <c r="I34" s="1"/>
      <c r="J34" s="16"/>
    </row>
    <row r="35" spans="1:26" ht="15.75" customHeight="1" x14ac:dyDescent="0.25">
      <c r="A35" s="22"/>
      <c r="B35" s="110"/>
      <c r="C35" s="110"/>
      <c r="D35" s="110"/>
      <c r="E35" s="11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2" t="s">
        <v>61</v>
      </c>
      <c r="B38" s="103"/>
      <c r="C38" s="103"/>
      <c r="D38" s="103"/>
      <c r="E38" s="113"/>
      <c r="F38" s="94" t="str">
        <f>FormSampel!B19</f>
        <v>PERMIT/AMIR/MAISARAH</v>
      </c>
      <c r="G38" s="95"/>
      <c r="H38" s="98">
        <f>FormSampel!B20</f>
        <v>45546</v>
      </c>
      <c r="I38" s="98"/>
      <c r="J38" s="99"/>
    </row>
    <row r="39" spans="1:26" ht="11.25" customHeight="1" x14ac:dyDescent="0.25">
      <c r="A39" s="104"/>
      <c r="B39" s="105"/>
      <c r="C39" s="105"/>
      <c r="D39" s="105"/>
      <c r="E39" s="114"/>
      <c r="F39" s="96"/>
      <c r="G39" s="97"/>
      <c r="H39" s="100"/>
      <c r="I39" s="100"/>
      <c r="J39" s="101"/>
    </row>
    <row r="40" spans="1:26" ht="15.75" customHeight="1" x14ac:dyDescent="0.25">
      <c r="A40" s="102" t="s">
        <v>62</v>
      </c>
      <c r="B40" s="103"/>
      <c r="C40" s="103"/>
      <c r="D40" s="103"/>
      <c r="E40" s="103"/>
      <c r="F40" s="27"/>
      <c r="G40" s="23"/>
      <c r="H40" s="23"/>
      <c r="I40" s="23"/>
      <c r="J40" s="16"/>
    </row>
    <row r="41" spans="1:26" ht="11.25" customHeight="1" x14ac:dyDescent="0.25">
      <c r="A41" s="104"/>
      <c r="B41" s="105"/>
      <c r="C41" s="105"/>
      <c r="D41" s="105"/>
      <c r="E41" s="10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9BAB3-5406-4BBE-8CB7-3C4BBD174386}">
  <sheetPr codeName="Sheet4"/>
  <dimension ref="A1:Z579"/>
  <sheetViews>
    <sheetView view="pageLayout" topLeftCell="A16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8" t="s">
        <v>0</v>
      </c>
      <c r="B1" s="129"/>
      <c r="C1" s="129"/>
      <c r="D1" s="129"/>
      <c r="E1" s="129"/>
      <c r="F1" s="129"/>
      <c r="G1" s="129"/>
      <c r="H1" s="129"/>
      <c r="I1" s="129"/>
      <c r="J1" s="130"/>
    </row>
    <row r="2" spans="1:26" x14ac:dyDescent="0.25">
      <c r="A2" s="128" t="s">
        <v>1</v>
      </c>
      <c r="B2" s="129"/>
      <c r="C2" s="129"/>
      <c r="D2" s="129"/>
      <c r="E2" s="129"/>
      <c r="F2" s="129"/>
      <c r="G2" s="129"/>
      <c r="H2" s="129"/>
      <c r="I2" s="129"/>
      <c r="J2" s="130"/>
    </row>
    <row r="3" spans="1:26" x14ac:dyDescent="0.25">
      <c r="A3" s="131" t="s">
        <v>2</v>
      </c>
      <c r="B3" s="129"/>
      <c r="C3" s="130"/>
      <c r="D3" s="132">
        <f>FormSampel!F7</f>
        <v>0</v>
      </c>
      <c r="E3" s="129"/>
      <c r="F3" s="129"/>
      <c r="G3" s="129"/>
      <c r="H3" s="129"/>
      <c r="I3" s="129"/>
      <c r="J3" s="130"/>
    </row>
    <row r="4" spans="1:26" x14ac:dyDescent="0.25">
      <c r="A4" s="131" t="s">
        <v>3</v>
      </c>
      <c r="B4" s="129"/>
      <c r="C4" s="130"/>
      <c r="D4" s="132">
        <f>FormSampel!B2</f>
        <v>110924</v>
      </c>
      <c r="E4" s="129"/>
      <c r="F4" s="129"/>
      <c r="G4" s="129"/>
      <c r="H4" s="129"/>
      <c r="I4" s="129"/>
      <c r="J4" s="130"/>
    </row>
    <row r="5" spans="1:26" ht="15" customHeight="1" x14ac:dyDescent="0.25">
      <c r="A5" s="133" t="s">
        <v>4</v>
      </c>
      <c r="B5" s="129"/>
      <c r="C5" s="129"/>
      <c r="D5" s="129"/>
      <c r="E5" s="129"/>
      <c r="F5" s="129"/>
      <c r="G5" s="129"/>
      <c r="H5" s="129"/>
      <c r="I5" s="129"/>
      <c r="J5" s="13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3" t="s">
        <v>5</v>
      </c>
      <c r="B6" s="129"/>
      <c r="C6" s="129"/>
      <c r="D6" s="129"/>
      <c r="E6" s="129"/>
      <c r="F6" s="129"/>
      <c r="G6" s="129"/>
      <c r="H6" s="129"/>
      <c r="I6" s="129"/>
      <c r="J6" s="130"/>
    </row>
    <row r="7" spans="1:26" ht="30" customHeight="1" x14ac:dyDescent="0.25">
      <c r="A7" s="134" t="s">
        <v>6</v>
      </c>
      <c r="B7" s="103"/>
      <c r="C7" s="135" t="s">
        <v>7</v>
      </c>
      <c r="D7" s="103"/>
      <c r="E7" s="103"/>
      <c r="F7" s="42" t="s">
        <v>8</v>
      </c>
      <c r="G7" s="126" t="s">
        <v>9</v>
      </c>
      <c r="H7" s="103"/>
      <c r="I7" s="103"/>
      <c r="J7" s="113"/>
    </row>
    <row r="8" spans="1:26" ht="15" customHeight="1" x14ac:dyDescent="0.25">
      <c r="A8" s="115" t="s">
        <v>10</v>
      </c>
      <c r="B8" s="110"/>
      <c r="C8" s="116" t="s">
        <v>11</v>
      </c>
      <c r="D8" s="110"/>
      <c r="E8" s="4"/>
      <c r="F8" s="38" t="s">
        <v>12</v>
      </c>
      <c r="G8" s="6" t="s">
        <v>13</v>
      </c>
      <c r="H8" s="6" t="s">
        <v>14</v>
      </c>
      <c r="I8" s="127"/>
      <c r="J8" s="111"/>
    </row>
    <row r="9" spans="1:26" ht="30" customHeight="1" x14ac:dyDescent="0.25">
      <c r="A9" s="123" t="s">
        <v>15</v>
      </c>
      <c r="B9" s="110"/>
      <c r="C9" s="116" t="s">
        <v>16</v>
      </c>
      <c r="D9" s="110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5" t="s">
        <v>20</v>
      </c>
      <c r="B10" s="110"/>
      <c r="C10" s="116" t="s">
        <v>21</v>
      </c>
      <c r="D10" s="110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3" t="s">
        <v>25</v>
      </c>
      <c r="B11" s="110"/>
      <c r="C11" s="124" t="s">
        <v>26</v>
      </c>
      <c r="D11" s="110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5" t="s">
        <v>30</v>
      </c>
      <c r="B12" s="110"/>
      <c r="C12" s="116" t="s">
        <v>31</v>
      </c>
      <c r="D12" s="110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5" t="s">
        <v>35</v>
      </c>
      <c r="B13" s="110"/>
      <c r="C13" s="116" t="s">
        <v>36</v>
      </c>
      <c r="D13" s="110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5" t="s">
        <v>40</v>
      </c>
      <c r="B14" s="110"/>
      <c r="C14" s="116" t="s">
        <v>41</v>
      </c>
      <c r="D14" s="110"/>
      <c r="E14" s="7"/>
      <c r="F14" s="125" t="s">
        <v>42</v>
      </c>
      <c r="G14" s="110"/>
      <c r="H14" s="110"/>
      <c r="I14" s="122" t="s">
        <v>43</v>
      </c>
      <c r="J14" s="111"/>
    </row>
    <row r="15" spans="1:26" ht="15" customHeight="1" x14ac:dyDescent="0.25">
      <c r="A15" s="115" t="s">
        <v>44</v>
      </c>
      <c r="B15" s="110"/>
      <c r="C15" s="116" t="s">
        <v>45</v>
      </c>
      <c r="D15" s="110"/>
      <c r="E15" s="7"/>
      <c r="F15" s="43" t="s">
        <v>74</v>
      </c>
      <c r="G15" s="120" t="str">
        <f>FormSampel!B14</f>
        <v>HC 16350373 - 2</v>
      </c>
      <c r="H15" s="120"/>
      <c r="I15" s="117">
        <f>FormSampel!C14</f>
        <v>45808</v>
      </c>
      <c r="J15" s="118"/>
    </row>
    <row r="16" spans="1:26" ht="15" customHeight="1" x14ac:dyDescent="0.25">
      <c r="A16" s="115" t="s">
        <v>46</v>
      </c>
      <c r="B16" s="110"/>
      <c r="C16" s="119" t="s">
        <v>47</v>
      </c>
      <c r="D16" s="110"/>
      <c r="E16" s="110"/>
      <c r="F16" s="44" t="s">
        <v>75</v>
      </c>
      <c r="G16" s="121" t="str">
        <f>FormSampel!B15</f>
        <v>HC 15161426 - 2</v>
      </c>
      <c r="H16" s="121"/>
      <c r="I16" s="117">
        <f>FormSampel!C15</f>
        <v>45716</v>
      </c>
      <c r="J16" s="118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1" t="str">
        <f>FormSampel!B16</f>
        <v>HC 14813176 - 2</v>
      </c>
      <c r="H17" s="121"/>
      <c r="I17" s="117">
        <f>FormSampel!C16</f>
        <v>45688</v>
      </c>
      <c r="J17" s="11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4" t="str">
        <f>FormSampel!B17</f>
        <v>HC 28942277 - 2</v>
      </c>
      <c r="H18" s="154"/>
      <c r="I18" s="149">
        <f>FormSampel!C17</f>
        <v>46142</v>
      </c>
      <c r="J18" s="150"/>
    </row>
    <row r="19" spans="1:26" x14ac:dyDescent="0.25">
      <c r="A19" s="151" t="s">
        <v>48</v>
      </c>
      <c r="B19" s="152"/>
      <c r="C19" s="152"/>
      <c r="D19" s="152"/>
      <c r="E19" s="152"/>
      <c r="F19" s="152"/>
      <c r="G19" s="152"/>
      <c r="H19" s="152"/>
      <c r="I19" s="152"/>
      <c r="J19" s="153"/>
    </row>
    <row r="20" spans="1:26" ht="26.25" customHeight="1" x14ac:dyDescent="0.25">
      <c r="A20" s="141" t="s">
        <v>49</v>
      </c>
      <c r="B20" s="137"/>
      <c r="C20" s="29">
        <f>FormSampel!G7</f>
        <v>0</v>
      </c>
      <c r="D20" s="30" t="s">
        <v>50</v>
      </c>
      <c r="E20" s="31">
        <v>1000</v>
      </c>
      <c r="F20" s="136" t="s">
        <v>51</v>
      </c>
      <c r="G20" s="137"/>
      <c r="H20" s="138" t="str">
        <f>IF(AND(C21&lt;0.15),"&lt;0.15",C21)</f>
        <v>&lt;0.15</v>
      </c>
      <c r="I20" s="139"/>
      <c r="J20" s="32" t="s">
        <v>52</v>
      </c>
    </row>
    <row r="21" spans="1:26" ht="15.75" customHeight="1" x14ac:dyDescent="0.25">
      <c r="A21" s="33" t="s">
        <v>53</v>
      </c>
      <c r="B21" s="34"/>
      <c r="C21" s="106">
        <f>C20/1000</f>
        <v>0</v>
      </c>
      <c r="D21" s="107"/>
      <c r="E21" s="35"/>
      <c r="F21" s="34"/>
      <c r="G21" s="34"/>
      <c r="H21" s="34"/>
      <c r="I21" s="34"/>
      <c r="J21" s="32"/>
    </row>
    <row r="22" spans="1:26" ht="15.75" customHeight="1" x14ac:dyDescent="0.25">
      <c r="A22" s="142" t="s">
        <v>56</v>
      </c>
      <c r="B22" s="143"/>
      <c r="C22" s="143"/>
      <c r="D22" s="143"/>
      <c r="E22" s="143"/>
      <c r="F22" s="143"/>
      <c r="G22" s="143"/>
      <c r="H22" s="143"/>
      <c r="I22" s="143"/>
      <c r="J22" s="14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1" t="s">
        <v>49</v>
      </c>
      <c r="B23" s="137"/>
      <c r="C23" s="29">
        <f>FormSampel!H7</f>
        <v>0</v>
      </c>
      <c r="D23" s="30" t="s">
        <v>50</v>
      </c>
      <c r="E23" s="36">
        <v>1000</v>
      </c>
      <c r="F23" s="136" t="s">
        <v>51</v>
      </c>
      <c r="G23" s="137"/>
      <c r="H23" s="138" t="str">
        <f>IF(C24&lt;0.15,"&lt;0.15",C24)</f>
        <v>&lt;0.15</v>
      </c>
      <c r="I23" s="139"/>
      <c r="J23" s="32" t="s">
        <v>52</v>
      </c>
    </row>
    <row r="24" spans="1:26" ht="15.75" customHeight="1" x14ac:dyDescent="0.25">
      <c r="A24" s="33" t="s">
        <v>53</v>
      </c>
      <c r="B24" s="34"/>
      <c r="C24" s="106">
        <f>C23/1000</f>
        <v>0</v>
      </c>
      <c r="D24" s="107"/>
      <c r="E24" s="35"/>
      <c r="F24" s="34"/>
      <c r="G24" s="34"/>
      <c r="H24" s="34"/>
      <c r="I24" s="34"/>
      <c r="J24" s="32"/>
    </row>
    <row r="25" spans="1:26" ht="15.75" customHeight="1" x14ac:dyDescent="0.25">
      <c r="A25" s="142" t="s">
        <v>54</v>
      </c>
      <c r="B25" s="143"/>
      <c r="C25" s="143"/>
      <c r="D25" s="143"/>
      <c r="E25" s="143"/>
      <c r="F25" s="143"/>
      <c r="G25" s="143"/>
      <c r="H25" s="143"/>
      <c r="I25" s="143"/>
      <c r="J25" s="14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0" t="s">
        <v>49</v>
      </c>
      <c r="B26" s="110"/>
      <c r="C26" s="29">
        <f>FormSampel!I7</f>
        <v>0</v>
      </c>
      <c r="D26" s="30" t="s">
        <v>50</v>
      </c>
      <c r="E26" s="36">
        <v>1000</v>
      </c>
      <c r="F26" s="145" t="s">
        <v>51</v>
      </c>
      <c r="G26" s="137"/>
      <c r="H26" s="138" t="str">
        <f>IF(AND(C27&lt;0.15),"&lt;0.15",C27)</f>
        <v>&lt;0.15</v>
      </c>
      <c r="I26" s="139"/>
      <c r="J26" s="37" t="s">
        <v>52</v>
      </c>
    </row>
    <row r="27" spans="1:26" ht="15.75" customHeight="1" x14ac:dyDescent="0.25">
      <c r="A27" s="33" t="s">
        <v>53</v>
      </c>
      <c r="B27" s="34"/>
      <c r="C27" s="146">
        <f>C26/1000</f>
        <v>0</v>
      </c>
      <c r="D27" s="147"/>
      <c r="E27" s="35"/>
      <c r="F27" s="34"/>
      <c r="G27" s="34"/>
      <c r="H27" s="34"/>
      <c r="I27" s="34"/>
      <c r="J27" s="32"/>
    </row>
    <row r="28" spans="1:26" ht="15.75" customHeight="1" x14ac:dyDescent="0.25">
      <c r="A28" s="142" t="s">
        <v>55</v>
      </c>
      <c r="B28" s="143"/>
      <c r="C28" s="143"/>
      <c r="D28" s="143"/>
      <c r="E28" s="143"/>
      <c r="F28" s="143"/>
      <c r="G28" s="143"/>
      <c r="H28" s="143"/>
      <c r="I28" s="143"/>
      <c r="J28" s="14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0" t="s">
        <v>49</v>
      </c>
      <c r="B29" s="110"/>
      <c r="C29" s="29">
        <f>FormSampel!J7</f>
        <v>0</v>
      </c>
      <c r="D29" s="30" t="s">
        <v>50</v>
      </c>
      <c r="E29" s="36">
        <v>1000</v>
      </c>
      <c r="F29" s="148" t="s">
        <v>51</v>
      </c>
      <c r="G29" s="110"/>
      <c r="H29" s="138" t="str">
        <f>IF(AND(C30&lt;0.15),"&lt;0.15",C30)</f>
        <v>&lt;0.15</v>
      </c>
      <c r="I29" s="139"/>
      <c r="J29" s="32" t="s">
        <v>52</v>
      </c>
    </row>
    <row r="30" spans="1:26" ht="15.75" customHeight="1" x14ac:dyDescent="0.25">
      <c r="A30" s="33" t="s">
        <v>53</v>
      </c>
      <c r="B30" s="34"/>
      <c r="C30" s="106">
        <f>C29/1000</f>
        <v>0</v>
      </c>
      <c r="D30" s="107"/>
      <c r="E30" s="35"/>
      <c r="F30" s="34"/>
      <c r="G30" s="34"/>
      <c r="H30" s="34"/>
      <c r="I30" s="34"/>
      <c r="J30" s="32"/>
    </row>
    <row r="31" spans="1:26" ht="15.75" customHeight="1" x14ac:dyDescent="0.25">
      <c r="A31" s="108" t="s">
        <v>57</v>
      </c>
      <c r="B31" s="10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9" t="s">
        <v>59</v>
      </c>
      <c r="C32" s="110"/>
      <c r="D32" s="110"/>
      <c r="E32" s="111"/>
      <c r="F32" s="1"/>
      <c r="G32" s="1"/>
      <c r="H32" s="1"/>
      <c r="I32" s="1"/>
      <c r="J32" s="16"/>
    </row>
    <row r="33" spans="1:26" ht="15.75" customHeight="1" x14ac:dyDescent="0.25">
      <c r="A33" s="20"/>
      <c r="B33" s="110"/>
      <c r="C33" s="110"/>
      <c r="D33" s="110"/>
      <c r="E33" s="111"/>
      <c r="F33" s="21"/>
      <c r="G33" s="1"/>
      <c r="H33" s="1"/>
      <c r="I33" s="1"/>
      <c r="J33" s="16"/>
    </row>
    <row r="34" spans="1:26" ht="15.75" customHeight="1" x14ac:dyDescent="0.25">
      <c r="A34" s="22"/>
      <c r="B34" s="109" t="s">
        <v>60</v>
      </c>
      <c r="C34" s="110"/>
      <c r="D34" s="110"/>
      <c r="E34" s="111"/>
      <c r="F34" s="1"/>
      <c r="G34" s="1"/>
      <c r="H34" s="1"/>
      <c r="I34" s="1"/>
      <c r="J34" s="16"/>
    </row>
    <row r="35" spans="1:26" ht="15.75" customHeight="1" x14ac:dyDescent="0.25">
      <c r="A35" s="22"/>
      <c r="B35" s="110"/>
      <c r="C35" s="110"/>
      <c r="D35" s="110"/>
      <c r="E35" s="11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2" t="s">
        <v>61</v>
      </c>
      <c r="B38" s="103"/>
      <c r="C38" s="103"/>
      <c r="D38" s="103"/>
      <c r="E38" s="113"/>
      <c r="F38" s="94" t="str">
        <f>FormSampel!B19</f>
        <v>PERMIT/AMIR/MAISARAH</v>
      </c>
      <c r="G38" s="95"/>
      <c r="H38" s="98">
        <f>FormSampel!B20</f>
        <v>45546</v>
      </c>
      <c r="I38" s="98"/>
      <c r="J38" s="99"/>
    </row>
    <row r="39" spans="1:26" ht="11.25" customHeight="1" x14ac:dyDescent="0.25">
      <c r="A39" s="104"/>
      <c r="B39" s="105"/>
      <c r="C39" s="105"/>
      <c r="D39" s="105"/>
      <c r="E39" s="114"/>
      <c r="F39" s="96"/>
      <c r="G39" s="97"/>
      <c r="H39" s="100"/>
      <c r="I39" s="100"/>
      <c r="J39" s="101"/>
    </row>
    <row r="40" spans="1:26" ht="15.75" customHeight="1" x14ac:dyDescent="0.25">
      <c r="A40" s="102" t="s">
        <v>62</v>
      </c>
      <c r="B40" s="103"/>
      <c r="C40" s="103"/>
      <c r="D40" s="103"/>
      <c r="E40" s="103"/>
      <c r="F40" s="27"/>
      <c r="G40" s="23"/>
      <c r="H40" s="23"/>
      <c r="I40" s="23"/>
      <c r="J40" s="16"/>
    </row>
    <row r="41" spans="1:26" ht="11.25" customHeight="1" x14ac:dyDescent="0.25">
      <c r="A41" s="104"/>
      <c r="B41" s="105"/>
      <c r="C41" s="105"/>
      <c r="D41" s="105"/>
      <c r="E41" s="10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0FB7E-DC00-40BB-81A8-C80C4A6DD81D}">
  <sheetPr codeName="Sheet5"/>
  <dimension ref="A1:Z579"/>
  <sheetViews>
    <sheetView view="pageLayout" topLeftCell="A16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8" t="s">
        <v>0</v>
      </c>
      <c r="B1" s="129"/>
      <c r="C1" s="129"/>
      <c r="D1" s="129"/>
      <c r="E1" s="129"/>
      <c r="F1" s="129"/>
      <c r="G1" s="129"/>
      <c r="H1" s="129"/>
      <c r="I1" s="129"/>
      <c r="J1" s="130"/>
    </row>
    <row r="2" spans="1:26" x14ac:dyDescent="0.25">
      <c r="A2" s="128" t="s">
        <v>1</v>
      </c>
      <c r="B2" s="129"/>
      <c r="C2" s="129"/>
      <c r="D2" s="129"/>
      <c r="E2" s="129"/>
      <c r="F2" s="129"/>
      <c r="G2" s="129"/>
      <c r="H2" s="129"/>
      <c r="I2" s="129"/>
      <c r="J2" s="130"/>
    </row>
    <row r="3" spans="1:26" x14ac:dyDescent="0.25">
      <c r="A3" s="131" t="s">
        <v>2</v>
      </c>
      <c r="B3" s="129"/>
      <c r="C3" s="130"/>
      <c r="D3" s="132">
        <f>FormSampel!F8</f>
        <v>0</v>
      </c>
      <c r="E3" s="129"/>
      <c r="F3" s="129"/>
      <c r="G3" s="129"/>
      <c r="H3" s="129"/>
      <c r="I3" s="129"/>
      <c r="J3" s="130"/>
    </row>
    <row r="4" spans="1:26" x14ac:dyDescent="0.25">
      <c r="A4" s="131" t="s">
        <v>3</v>
      </c>
      <c r="B4" s="129"/>
      <c r="C4" s="130"/>
      <c r="D4" s="132">
        <f>FormSampel!B2</f>
        <v>110924</v>
      </c>
      <c r="E4" s="129"/>
      <c r="F4" s="129"/>
      <c r="G4" s="129"/>
      <c r="H4" s="129"/>
      <c r="I4" s="129"/>
      <c r="J4" s="130"/>
    </row>
    <row r="5" spans="1:26" ht="15" customHeight="1" x14ac:dyDescent="0.25">
      <c r="A5" s="133" t="s">
        <v>4</v>
      </c>
      <c r="B5" s="129"/>
      <c r="C5" s="129"/>
      <c r="D5" s="129"/>
      <c r="E5" s="129"/>
      <c r="F5" s="129"/>
      <c r="G5" s="129"/>
      <c r="H5" s="129"/>
      <c r="I5" s="129"/>
      <c r="J5" s="13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3" t="s">
        <v>5</v>
      </c>
      <c r="B6" s="129"/>
      <c r="C6" s="129"/>
      <c r="D6" s="129"/>
      <c r="E6" s="129"/>
      <c r="F6" s="129"/>
      <c r="G6" s="129"/>
      <c r="H6" s="129"/>
      <c r="I6" s="129"/>
      <c r="J6" s="130"/>
    </row>
    <row r="7" spans="1:26" ht="30" customHeight="1" x14ac:dyDescent="0.25">
      <c r="A7" s="134" t="s">
        <v>6</v>
      </c>
      <c r="B7" s="103"/>
      <c r="C7" s="135" t="s">
        <v>7</v>
      </c>
      <c r="D7" s="103"/>
      <c r="E7" s="103"/>
      <c r="F7" s="42" t="s">
        <v>8</v>
      </c>
      <c r="G7" s="126" t="s">
        <v>9</v>
      </c>
      <c r="H7" s="103"/>
      <c r="I7" s="103"/>
      <c r="J7" s="113"/>
    </row>
    <row r="8" spans="1:26" ht="15" customHeight="1" x14ac:dyDescent="0.25">
      <c r="A8" s="115" t="s">
        <v>10</v>
      </c>
      <c r="B8" s="110"/>
      <c r="C8" s="116" t="s">
        <v>11</v>
      </c>
      <c r="D8" s="110"/>
      <c r="E8" s="4"/>
      <c r="F8" s="38" t="s">
        <v>12</v>
      </c>
      <c r="G8" s="6" t="s">
        <v>13</v>
      </c>
      <c r="H8" s="6" t="s">
        <v>14</v>
      </c>
      <c r="I8" s="127"/>
      <c r="J8" s="111"/>
    </row>
    <row r="9" spans="1:26" ht="30" customHeight="1" x14ac:dyDescent="0.25">
      <c r="A9" s="123" t="s">
        <v>15</v>
      </c>
      <c r="B9" s="110"/>
      <c r="C9" s="116" t="s">
        <v>16</v>
      </c>
      <c r="D9" s="110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5" t="s">
        <v>20</v>
      </c>
      <c r="B10" s="110"/>
      <c r="C10" s="116" t="s">
        <v>21</v>
      </c>
      <c r="D10" s="110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3" t="s">
        <v>25</v>
      </c>
      <c r="B11" s="110"/>
      <c r="C11" s="124" t="s">
        <v>26</v>
      </c>
      <c r="D11" s="110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5" t="s">
        <v>30</v>
      </c>
      <c r="B12" s="110"/>
      <c r="C12" s="116" t="s">
        <v>31</v>
      </c>
      <c r="D12" s="110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5" t="s">
        <v>35</v>
      </c>
      <c r="B13" s="110"/>
      <c r="C13" s="116" t="s">
        <v>36</v>
      </c>
      <c r="D13" s="110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5" t="s">
        <v>40</v>
      </c>
      <c r="B14" s="110"/>
      <c r="C14" s="116" t="s">
        <v>41</v>
      </c>
      <c r="D14" s="110"/>
      <c r="E14" s="7"/>
      <c r="F14" s="125" t="s">
        <v>42</v>
      </c>
      <c r="G14" s="110"/>
      <c r="H14" s="110"/>
      <c r="I14" s="122" t="s">
        <v>43</v>
      </c>
      <c r="J14" s="111"/>
    </row>
    <row r="15" spans="1:26" ht="15" customHeight="1" x14ac:dyDescent="0.25">
      <c r="A15" s="115" t="s">
        <v>44</v>
      </c>
      <c r="B15" s="110"/>
      <c r="C15" s="116" t="s">
        <v>45</v>
      </c>
      <c r="D15" s="110"/>
      <c r="E15" s="7"/>
      <c r="F15" s="43" t="s">
        <v>74</v>
      </c>
      <c r="G15" s="120" t="str">
        <f>FormSampel!B14</f>
        <v>HC 16350373 - 2</v>
      </c>
      <c r="H15" s="120"/>
      <c r="I15" s="117">
        <f>FormSampel!C14</f>
        <v>45808</v>
      </c>
      <c r="J15" s="118"/>
    </row>
    <row r="16" spans="1:26" ht="15" customHeight="1" x14ac:dyDescent="0.25">
      <c r="A16" s="115" t="s">
        <v>46</v>
      </c>
      <c r="B16" s="110"/>
      <c r="C16" s="119" t="s">
        <v>47</v>
      </c>
      <c r="D16" s="110"/>
      <c r="E16" s="110"/>
      <c r="F16" s="44" t="s">
        <v>75</v>
      </c>
      <c r="G16" s="121" t="str">
        <f>FormSampel!B15</f>
        <v>HC 15161426 - 2</v>
      </c>
      <c r="H16" s="121"/>
      <c r="I16" s="117">
        <f>FormSampel!C15</f>
        <v>45716</v>
      </c>
      <c r="J16" s="118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1" t="str">
        <f>FormSampel!B16</f>
        <v>HC 14813176 - 2</v>
      </c>
      <c r="H17" s="121"/>
      <c r="I17" s="117">
        <f>FormSampel!C16</f>
        <v>45688</v>
      </c>
      <c r="J17" s="11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4" t="str">
        <f>FormSampel!B17</f>
        <v>HC 28942277 - 2</v>
      </c>
      <c r="H18" s="154"/>
      <c r="I18" s="149">
        <f>FormSampel!C17</f>
        <v>46142</v>
      </c>
      <c r="J18" s="150"/>
    </row>
    <row r="19" spans="1:26" x14ac:dyDescent="0.25">
      <c r="A19" s="151" t="s">
        <v>48</v>
      </c>
      <c r="B19" s="152"/>
      <c r="C19" s="152"/>
      <c r="D19" s="152"/>
      <c r="E19" s="152"/>
      <c r="F19" s="152"/>
      <c r="G19" s="152"/>
      <c r="H19" s="152"/>
      <c r="I19" s="152"/>
      <c r="J19" s="153"/>
    </row>
    <row r="20" spans="1:26" ht="26.25" customHeight="1" x14ac:dyDescent="0.25">
      <c r="A20" s="141" t="s">
        <v>49</v>
      </c>
      <c r="B20" s="137"/>
      <c r="C20" s="29">
        <f>FormSampel!G8</f>
        <v>0</v>
      </c>
      <c r="D20" s="30" t="s">
        <v>50</v>
      </c>
      <c r="E20" s="31">
        <v>1000</v>
      </c>
      <c r="F20" s="136" t="s">
        <v>51</v>
      </c>
      <c r="G20" s="137"/>
      <c r="H20" s="138" t="str">
        <f>IF(AND(C21&lt;0.15),"&lt;0.15",C21)</f>
        <v>&lt;0.15</v>
      </c>
      <c r="I20" s="139"/>
      <c r="J20" s="32" t="s">
        <v>52</v>
      </c>
    </row>
    <row r="21" spans="1:26" ht="15.75" customHeight="1" x14ac:dyDescent="0.25">
      <c r="A21" s="33" t="s">
        <v>53</v>
      </c>
      <c r="B21" s="34"/>
      <c r="C21" s="106">
        <f>C20/1000</f>
        <v>0</v>
      </c>
      <c r="D21" s="107"/>
      <c r="E21" s="35"/>
      <c r="F21" s="34"/>
      <c r="G21" s="34"/>
      <c r="H21" s="34"/>
      <c r="I21" s="34"/>
      <c r="J21" s="32"/>
    </row>
    <row r="22" spans="1:26" ht="15.75" customHeight="1" x14ac:dyDescent="0.25">
      <c r="A22" s="142" t="s">
        <v>56</v>
      </c>
      <c r="B22" s="143"/>
      <c r="C22" s="143"/>
      <c r="D22" s="143"/>
      <c r="E22" s="143"/>
      <c r="F22" s="143"/>
      <c r="G22" s="143"/>
      <c r="H22" s="143"/>
      <c r="I22" s="143"/>
      <c r="J22" s="14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1" t="s">
        <v>49</v>
      </c>
      <c r="B23" s="137"/>
      <c r="C23" s="29">
        <f>FormSampel!H8</f>
        <v>0</v>
      </c>
      <c r="D23" s="30" t="s">
        <v>50</v>
      </c>
      <c r="E23" s="36">
        <v>1000</v>
      </c>
      <c r="F23" s="136" t="s">
        <v>51</v>
      </c>
      <c r="G23" s="137"/>
      <c r="H23" s="138" t="str">
        <f>IF(C24&lt;0.15,"&lt;0.15",C24)</f>
        <v>&lt;0.15</v>
      </c>
      <c r="I23" s="139"/>
      <c r="J23" s="32" t="s">
        <v>52</v>
      </c>
    </row>
    <row r="24" spans="1:26" ht="15.75" customHeight="1" x14ac:dyDescent="0.25">
      <c r="A24" s="33" t="s">
        <v>53</v>
      </c>
      <c r="B24" s="34"/>
      <c r="C24" s="106">
        <f>C23/1000</f>
        <v>0</v>
      </c>
      <c r="D24" s="107"/>
      <c r="E24" s="35"/>
      <c r="F24" s="34"/>
      <c r="G24" s="34"/>
      <c r="H24" s="34"/>
      <c r="I24" s="34"/>
      <c r="J24" s="32"/>
    </row>
    <row r="25" spans="1:26" ht="15.75" customHeight="1" x14ac:dyDescent="0.25">
      <c r="A25" s="142" t="s">
        <v>54</v>
      </c>
      <c r="B25" s="143"/>
      <c r="C25" s="143"/>
      <c r="D25" s="143"/>
      <c r="E25" s="143"/>
      <c r="F25" s="143"/>
      <c r="G25" s="143"/>
      <c r="H25" s="143"/>
      <c r="I25" s="143"/>
      <c r="J25" s="14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0" t="s">
        <v>49</v>
      </c>
      <c r="B26" s="110"/>
      <c r="C26" s="29">
        <f>FormSampel!I8</f>
        <v>0</v>
      </c>
      <c r="D26" s="30" t="s">
        <v>50</v>
      </c>
      <c r="E26" s="36">
        <v>1000</v>
      </c>
      <c r="F26" s="145" t="s">
        <v>51</v>
      </c>
      <c r="G26" s="137"/>
      <c r="H26" s="138" t="str">
        <f>IF(AND(C27&lt;0.15),"&lt;0.15",C27)</f>
        <v>&lt;0.15</v>
      </c>
      <c r="I26" s="139"/>
      <c r="J26" s="37" t="s">
        <v>52</v>
      </c>
    </row>
    <row r="27" spans="1:26" ht="15.75" customHeight="1" x14ac:dyDescent="0.25">
      <c r="A27" s="33" t="s">
        <v>53</v>
      </c>
      <c r="B27" s="34"/>
      <c r="C27" s="146">
        <f>C26/1000</f>
        <v>0</v>
      </c>
      <c r="D27" s="147"/>
      <c r="E27" s="35"/>
      <c r="F27" s="34"/>
      <c r="G27" s="34"/>
      <c r="H27" s="34"/>
      <c r="I27" s="34"/>
      <c r="J27" s="32"/>
    </row>
    <row r="28" spans="1:26" ht="15.75" customHeight="1" x14ac:dyDescent="0.25">
      <c r="A28" s="142" t="s">
        <v>55</v>
      </c>
      <c r="B28" s="143"/>
      <c r="C28" s="143"/>
      <c r="D28" s="143"/>
      <c r="E28" s="143"/>
      <c r="F28" s="143"/>
      <c r="G28" s="143"/>
      <c r="H28" s="143"/>
      <c r="I28" s="143"/>
      <c r="J28" s="14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0" t="s">
        <v>49</v>
      </c>
      <c r="B29" s="110"/>
      <c r="C29" s="29">
        <f>FormSampel!J8</f>
        <v>0</v>
      </c>
      <c r="D29" s="30" t="s">
        <v>50</v>
      </c>
      <c r="E29" s="36">
        <v>1000</v>
      </c>
      <c r="F29" s="148" t="s">
        <v>51</v>
      </c>
      <c r="G29" s="110"/>
      <c r="H29" s="138" t="str">
        <f>IF(AND(C30&lt;0.15),"&lt;0.15",C30)</f>
        <v>&lt;0.15</v>
      </c>
      <c r="I29" s="139"/>
      <c r="J29" s="32" t="s">
        <v>52</v>
      </c>
    </row>
    <row r="30" spans="1:26" ht="15.75" customHeight="1" x14ac:dyDescent="0.25">
      <c r="A30" s="33" t="s">
        <v>53</v>
      </c>
      <c r="B30" s="34"/>
      <c r="C30" s="106">
        <f>C29/1000</f>
        <v>0</v>
      </c>
      <c r="D30" s="107"/>
      <c r="E30" s="35"/>
      <c r="F30" s="34"/>
      <c r="G30" s="34"/>
      <c r="H30" s="34"/>
      <c r="I30" s="34"/>
      <c r="J30" s="32"/>
    </row>
    <row r="31" spans="1:26" ht="15.75" customHeight="1" x14ac:dyDescent="0.25">
      <c r="A31" s="108" t="s">
        <v>57</v>
      </c>
      <c r="B31" s="10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9" t="s">
        <v>59</v>
      </c>
      <c r="C32" s="110"/>
      <c r="D32" s="110"/>
      <c r="E32" s="111"/>
      <c r="F32" s="1"/>
      <c r="G32" s="1"/>
      <c r="H32" s="1"/>
      <c r="I32" s="1"/>
      <c r="J32" s="16"/>
    </row>
    <row r="33" spans="1:26" ht="15.75" customHeight="1" x14ac:dyDescent="0.25">
      <c r="A33" s="20"/>
      <c r="B33" s="110"/>
      <c r="C33" s="110"/>
      <c r="D33" s="110"/>
      <c r="E33" s="111"/>
      <c r="F33" s="21"/>
      <c r="G33" s="1"/>
      <c r="H33" s="1"/>
      <c r="I33" s="1"/>
      <c r="J33" s="16"/>
    </row>
    <row r="34" spans="1:26" ht="15.75" customHeight="1" x14ac:dyDescent="0.25">
      <c r="A34" s="22"/>
      <c r="B34" s="109" t="s">
        <v>60</v>
      </c>
      <c r="C34" s="110"/>
      <c r="D34" s="110"/>
      <c r="E34" s="111"/>
      <c r="F34" s="1"/>
      <c r="G34" s="1"/>
      <c r="H34" s="1"/>
      <c r="I34" s="1"/>
      <c r="J34" s="16"/>
    </row>
    <row r="35" spans="1:26" ht="15.75" customHeight="1" x14ac:dyDescent="0.25">
      <c r="A35" s="22"/>
      <c r="B35" s="110"/>
      <c r="C35" s="110"/>
      <c r="D35" s="110"/>
      <c r="E35" s="11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2" t="s">
        <v>61</v>
      </c>
      <c r="B38" s="103"/>
      <c r="C38" s="103"/>
      <c r="D38" s="103"/>
      <c r="E38" s="113"/>
      <c r="F38" s="94" t="str">
        <f>FormSampel!B19</f>
        <v>PERMIT/AMIR/MAISARAH</v>
      </c>
      <c r="G38" s="95"/>
      <c r="H38" s="98">
        <f>FormSampel!B20</f>
        <v>45546</v>
      </c>
      <c r="I38" s="98"/>
      <c r="J38" s="99"/>
    </row>
    <row r="39" spans="1:26" ht="11.25" customHeight="1" x14ac:dyDescent="0.25">
      <c r="A39" s="104"/>
      <c r="B39" s="105"/>
      <c r="C39" s="105"/>
      <c r="D39" s="105"/>
      <c r="E39" s="114"/>
      <c r="F39" s="96"/>
      <c r="G39" s="97"/>
      <c r="H39" s="100"/>
      <c r="I39" s="100"/>
      <c r="J39" s="101"/>
    </row>
    <row r="40" spans="1:26" ht="15.75" customHeight="1" x14ac:dyDescent="0.25">
      <c r="A40" s="102" t="s">
        <v>62</v>
      </c>
      <c r="B40" s="103"/>
      <c r="C40" s="103"/>
      <c r="D40" s="103"/>
      <c r="E40" s="103"/>
      <c r="F40" s="27"/>
      <c r="G40" s="23"/>
      <c r="H40" s="23"/>
      <c r="I40" s="23"/>
      <c r="J40" s="16"/>
    </row>
    <row r="41" spans="1:26" ht="11.25" customHeight="1" x14ac:dyDescent="0.25">
      <c r="A41" s="104"/>
      <c r="B41" s="105"/>
      <c r="C41" s="105"/>
      <c r="D41" s="105"/>
      <c r="E41" s="10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77338-862F-457F-AAF6-7AC012A9A73F}">
  <sheetPr codeName="Sheet6"/>
  <dimension ref="A1:Z579"/>
  <sheetViews>
    <sheetView view="pageLayout" topLeftCell="A19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8" t="s">
        <v>0</v>
      </c>
      <c r="B1" s="129"/>
      <c r="C1" s="129"/>
      <c r="D1" s="129"/>
      <c r="E1" s="129"/>
      <c r="F1" s="129"/>
      <c r="G1" s="129"/>
      <c r="H1" s="129"/>
      <c r="I1" s="129"/>
      <c r="J1" s="130"/>
    </row>
    <row r="2" spans="1:26" x14ac:dyDescent="0.25">
      <c r="A2" s="128" t="s">
        <v>1</v>
      </c>
      <c r="B2" s="129"/>
      <c r="C2" s="129"/>
      <c r="D2" s="129"/>
      <c r="E2" s="129"/>
      <c r="F2" s="129"/>
      <c r="G2" s="129"/>
      <c r="H2" s="129"/>
      <c r="I2" s="129"/>
      <c r="J2" s="130"/>
    </row>
    <row r="3" spans="1:26" x14ac:dyDescent="0.25">
      <c r="A3" s="131" t="s">
        <v>2</v>
      </c>
      <c r="B3" s="129"/>
      <c r="C3" s="130"/>
      <c r="D3" s="132">
        <f>FormSampel!F9</f>
        <v>0</v>
      </c>
      <c r="E3" s="129"/>
      <c r="F3" s="129"/>
      <c r="G3" s="129"/>
      <c r="H3" s="129"/>
      <c r="I3" s="129"/>
      <c r="J3" s="130"/>
    </row>
    <row r="4" spans="1:26" x14ac:dyDescent="0.25">
      <c r="A4" s="131" t="s">
        <v>3</v>
      </c>
      <c r="B4" s="129"/>
      <c r="C4" s="130"/>
      <c r="D4" s="132">
        <f>FormSampel!B2</f>
        <v>110924</v>
      </c>
      <c r="E4" s="129"/>
      <c r="F4" s="129"/>
      <c r="G4" s="129"/>
      <c r="H4" s="129"/>
      <c r="I4" s="129"/>
      <c r="J4" s="130"/>
    </row>
    <row r="5" spans="1:26" ht="15" customHeight="1" x14ac:dyDescent="0.25">
      <c r="A5" s="133" t="s">
        <v>4</v>
      </c>
      <c r="B5" s="129"/>
      <c r="C5" s="129"/>
      <c r="D5" s="129"/>
      <c r="E5" s="129"/>
      <c r="F5" s="129"/>
      <c r="G5" s="129"/>
      <c r="H5" s="129"/>
      <c r="I5" s="129"/>
      <c r="J5" s="13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3" t="s">
        <v>5</v>
      </c>
      <c r="B6" s="129"/>
      <c r="C6" s="129"/>
      <c r="D6" s="129"/>
      <c r="E6" s="129"/>
      <c r="F6" s="129"/>
      <c r="G6" s="129"/>
      <c r="H6" s="129"/>
      <c r="I6" s="129"/>
      <c r="J6" s="130"/>
    </row>
    <row r="7" spans="1:26" ht="30" customHeight="1" x14ac:dyDescent="0.25">
      <c r="A7" s="134" t="s">
        <v>6</v>
      </c>
      <c r="B7" s="103"/>
      <c r="C7" s="135" t="s">
        <v>7</v>
      </c>
      <c r="D7" s="103"/>
      <c r="E7" s="103"/>
      <c r="F7" s="42" t="s">
        <v>8</v>
      </c>
      <c r="G7" s="126" t="s">
        <v>9</v>
      </c>
      <c r="H7" s="103"/>
      <c r="I7" s="103"/>
      <c r="J7" s="113"/>
    </row>
    <row r="8" spans="1:26" ht="15" customHeight="1" x14ac:dyDescent="0.25">
      <c r="A8" s="115" t="s">
        <v>10</v>
      </c>
      <c r="B8" s="110"/>
      <c r="C8" s="116" t="s">
        <v>11</v>
      </c>
      <c r="D8" s="110"/>
      <c r="E8" s="4"/>
      <c r="F8" s="38" t="s">
        <v>12</v>
      </c>
      <c r="G8" s="6" t="s">
        <v>13</v>
      </c>
      <c r="H8" s="6" t="s">
        <v>14</v>
      </c>
      <c r="I8" s="127"/>
      <c r="J8" s="111"/>
    </row>
    <row r="9" spans="1:26" ht="30" customHeight="1" x14ac:dyDescent="0.25">
      <c r="A9" s="123" t="s">
        <v>15</v>
      </c>
      <c r="B9" s="110"/>
      <c r="C9" s="116" t="s">
        <v>16</v>
      </c>
      <c r="D9" s="110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5" t="s">
        <v>20</v>
      </c>
      <c r="B10" s="110"/>
      <c r="C10" s="116" t="s">
        <v>21</v>
      </c>
      <c r="D10" s="110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3" t="s">
        <v>25</v>
      </c>
      <c r="B11" s="110"/>
      <c r="C11" s="124" t="s">
        <v>26</v>
      </c>
      <c r="D11" s="110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5" t="s">
        <v>30</v>
      </c>
      <c r="B12" s="110"/>
      <c r="C12" s="116" t="s">
        <v>31</v>
      </c>
      <c r="D12" s="110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5" t="s">
        <v>35</v>
      </c>
      <c r="B13" s="110"/>
      <c r="C13" s="116" t="s">
        <v>36</v>
      </c>
      <c r="D13" s="110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5" t="s">
        <v>40</v>
      </c>
      <c r="B14" s="110"/>
      <c r="C14" s="116" t="s">
        <v>41</v>
      </c>
      <c r="D14" s="110"/>
      <c r="E14" s="7"/>
      <c r="F14" s="125" t="s">
        <v>42</v>
      </c>
      <c r="G14" s="110"/>
      <c r="H14" s="110"/>
      <c r="I14" s="122" t="s">
        <v>43</v>
      </c>
      <c r="J14" s="111"/>
    </row>
    <row r="15" spans="1:26" ht="15" customHeight="1" x14ac:dyDescent="0.25">
      <c r="A15" s="115" t="s">
        <v>44</v>
      </c>
      <c r="B15" s="110"/>
      <c r="C15" s="116" t="s">
        <v>45</v>
      </c>
      <c r="D15" s="110"/>
      <c r="E15" s="7"/>
      <c r="F15" s="43" t="s">
        <v>74</v>
      </c>
      <c r="G15" s="120" t="str">
        <f>FormSampel!B14</f>
        <v>HC 16350373 - 2</v>
      </c>
      <c r="H15" s="120"/>
      <c r="I15" s="117">
        <f>FormSampel!C14</f>
        <v>45808</v>
      </c>
      <c r="J15" s="118"/>
    </row>
    <row r="16" spans="1:26" ht="15" customHeight="1" x14ac:dyDescent="0.25">
      <c r="A16" s="115" t="s">
        <v>46</v>
      </c>
      <c r="B16" s="110"/>
      <c r="C16" s="119" t="s">
        <v>47</v>
      </c>
      <c r="D16" s="110"/>
      <c r="E16" s="110"/>
      <c r="F16" s="44" t="s">
        <v>75</v>
      </c>
      <c r="G16" s="121" t="str">
        <f>FormSampel!B15</f>
        <v>HC 15161426 - 2</v>
      </c>
      <c r="H16" s="121"/>
      <c r="I16" s="117">
        <f>FormSampel!C15</f>
        <v>45716</v>
      </c>
      <c r="J16" s="118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1" t="str">
        <f>FormSampel!B16</f>
        <v>HC 14813176 - 2</v>
      </c>
      <c r="H17" s="121"/>
      <c r="I17" s="117">
        <f>FormSampel!C16</f>
        <v>45688</v>
      </c>
      <c r="J17" s="11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4" t="str">
        <f>FormSampel!B17</f>
        <v>HC 28942277 - 2</v>
      </c>
      <c r="H18" s="154"/>
      <c r="I18" s="149">
        <f>FormSampel!C17</f>
        <v>46142</v>
      </c>
      <c r="J18" s="150"/>
    </row>
    <row r="19" spans="1:26" x14ac:dyDescent="0.25">
      <c r="A19" s="151" t="s">
        <v>48</v>
      </c>
      <c r="B19" s="152"/>
      <c r="C19" s="152"/>
      <c r="D19" s="152"/>
      <c r="E19" s="152"/>
      <c r="F19" s="152"/>
      <c r="G19" s="152"/>
      <c r="H19" s="152"/>
      <c r="I19" s="152"/>
      <c r="J19" s="153"/>
    </row>
    <row r="20" spans="1:26" ht="26.25" customHeight="1" x14ac:dyDescent="0.25">
      <c r="A20" s="141" t="s">
        <v>49</v>
      </c>
      <c r="B20" s="137"/>
      <c r="C20" s="29">
        <f>FormSampel!G9</f>
        <v>0</v>
      </c>
      <c r="D20" s="30" t="s">
        <v>50</v>
      </c>
      <c r="E20" s="31">
        <v>1000</v>
      </c>
      <c r="F20" s="136" t="s">
        <v>51</v>
      </c>
      <c r="G20" s="137"/>
      <c r="H20" s="138" t="str">
        <f>IF(AND(C21&lt;0.15),"&lt;0.15",C21)</f>
        <v>&lt;0.15</v>
      </c>
      <c r="I20" s="139"/>
      <c r="J20" s="32" t="s">
        <v>52</v>
      </c>
    </row>
    <row r="21" spans="1:26" ht="15.75" customHeight="1" x14ac:dyDescent="0.25">
      <c r="A21" s="33" t="s">
        <v>53</v>
      </c>
      <c r="B21" s="34"/>
      <c r="C21" s="106">
        <f>C20/1000</f>
        <v>0</v>
      </c>
      <c r="D21" s="107"/>
      <c r="E21" s="35"/>
      <c r="F21" s="34"/>
      <c r="G21" s="34"/>
      <c r="H21" s="34"/>
      <c r="I21" s="34"/>
      <c r="J21" s="32"/>
    </row>
    <row r="22" spans="1:26" ht="15.75" customHeight="1" x14ac:dyDescent="0.25">
      <c r="A22" s="142" t="s">
        <v>56</v>
      </c>
      <c r="B22" s="143"/>
      <c r="C22" s="143"/>
      <c r="D22" s="143"/>
      <c r="E22" s="143"/>
      <c r="F22" s="143"/>
      <c r="G22" s="143"/>
      <c r="H22" s="143"/>
      <c r="I22" s="143"/>
      <c r="J22" s="14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1" t="s">
        <v>49</v>
      </c>
      <c r="B23" s="137"/>
      <c r="C23" s="29">
        <f>FormSampel!H9</f>
        <v>0</v>
      </c>
      <c r="D23" s="30" t="s">
        <v>50</v>
      </c>
      <c r="E23" s="36">
        <v>1000</v>
      </c>
      <c r="F23" s="136" t="s">
        <v>51</v>
      </c>
      <c r="G23" s="137"/>
      <c r="H23" s="138" t="str">
        <f>IF(C24&lt;0.15,"&lt;0.15",C24)</f>
        <v>&lt;0.15</v>
      </c>
      <c r="I23" s="139"/>
      <c r="J23" s="32" t="s">
        <v>52</v>
      </c>
    </row>
    <row r="24" spans="1:26" ht="15.75" customHeight="1" x14ac:dyDescent="0.25">
      <c r="A24" s="33" t="s">
        <v>53</v>
      </c>
      <c r="B24" s="34"/>
      <c r="C24" s="106">
        <f>C23/1000</f>
        <v>0</v>
      </c>
      <c r="D24" s="107"/>
      <c r="E24" s="35"/>
      <c r="F24" s="34"/>
      <c r="G24" s="34"/>
      <c r="H24" s="34"/>
      <c r="I24" s="34"/>
      <c r="J24" s="32"/>
    </row>
    <row r="25" spans="1:26" ht="15.75" customHeight="1" x14ac:dyDescent="0.25">
      <c r="A25" s="142" t="s">
        <v>54</v>
      </c>
      <c r="B25" s="143"/>
      <c r="C25" s="143"/>
      <c r="D25" s="143"/>
      <c r="E25" s="143"/>
      <c r="F25" s="143"/>
      <c r="G25" s="143"/>
      <c r="H25" s="143"/>
      <c r="I25" s="143"/>
      <c r="J25" s="14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0" t="s">
        <v>49</v>
      </c>
      <c r="B26" s="110"/>
      <c r="C26" s="29">
        <f>FormSampel!I9</f>
        <v>0</v>
      </c>
      <c r="D26" s="30" t="s">
        <v>50</v>
      </c>
      <c r="E26" s="36">
        <v>1000</v>
      </c>
      <c r="F26" s="145" t="s">
        <v>51</v>
      </c>
      <c r="G26" s="137"/>
      <c r="H26" s="138" t="str">
        <f>IF(AND(C27&lt;0.15),"&lt;0.15",C27)</f>
        <v>&lt;0.15</v>
      </c>
      <c r="I26" s="139"/>
      <c r="J26" s="37" t="s">
        <v>52</v>
      </c>
    </row>
    <row r="27" spans="1:26" ht="15.75" customHeight="1" x14ac:dyDescent="0.25">
      <c r="A27" s="33" t="s">
        <v>53</v>
      </c>
      <c r="B27" s="34"/>
      <c r="C27" s="146">
        <f>C26/1000</f>
        <v>0</v>
      </c>
      <c r="D27" s="147"/>
      <c r="E27" s="35"/>
      <c r="F27" s="34"/>
      <c r="G27" s="34"/>
      <c r="H27" s="34"/>
      <c r="I27" s="34"/>
      <c r="J27" s="32"/>
    </row>
    <row r="28" spans="1:26" ht="15.75" customHeight="1" x14ac:dyDescent="0.25">
      <c r="A28" s="142" t="s">
        <v>55</v>
      </c>
      <c r="B28" s="143"/>
      <c r="C28" s="143"/>
      <c r="D28" s="143"/>
      <c r="E28" s="143"/>
      <c r="F28" s="143"/>
      <c r="G28" s="143"/>
      <c r="H28" s="143"/>
      <c r="I28" s="143"/>
      <c r="J28" s="14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0" t="s">
        <v>49</v>
      </c>
      <c r="B29" s="110"/>
      <c r="C29" s="29">
        <f>FormSampel!J9</f>
        <v>0</v>
      </c>
      <c r="D29" s="30" t="s">
        <v>50</v>
      </c>
      <c r="E29" s="36">
        <v>1000</v>
      </c>
      <c r="F29" s="148" t="s">
        <v>51</v>
      </c>
      <c r="G29" s="110"/>
      <c r="H29" s="138" t="str">
        <f>IF(AND(C30&lt;0.15),"&lt;0.15",C30)</f>
        <v>&lt;0.15</v>
      </c>
      <c r="I29" s="139"/>
      <c r="J29" s="32" t="s">
        <v>52</v>
      </c>
    </row>
    <row r="30" spans="1:26" ht="15.75" customHeight="1" x14ac:dyDescent="0.25">
      <c r="A30" s="33" t="s">
        <v>53</v>
      </c>
      <c r="B30" s="34"/>
      <c r="C30" s="106">
        <f>C29/1000</f>
        <v>0</v>
      </c>
      <c r="D30" s="107"/>
      <c r="E30" s="35"/>
      <c r="F30" s="34"/>
      <c r="G30" s="34"/>
      <c r="H30" s="34"/>
      <c r="I30" s="34"/>
      <c r="J30" s="32"/>
    </row>
    <row r="31" spans="1:26" ht="15.75" customHeight="1" x14ac:dyDescent="0.25">
      <c r="A31" s="108" t="s">
        <v>57</v>
      </c>
      <c r="B31" s="10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9" t="s">
        <v>59</v>
      </c>
      <c r="C32" s="110"/>
      <c r="D32" s="110"/>
      <c r="E32" s="111"/>
      <c r="F32" s="1"/>
      <c r="G32" s="1"/>
      <c r="H32" s="1"/>
      <c r="I32" s="1"/>
      <c r="J32" s="16"/>
    </row>
    <row r="33" spans="1:26" ht="15.75" customHeight="1" x14ac:dyDescent="0.25">
      <c r="A33" s="20"/>
      <c r="B33" s="110"/>
      <c r="C33" s="110"/>
      <c r="D33" s="110"/>
      <c r="E33" s="111"/>
      <c r="F33" s="21"/>
      <c r="G33" s="1"/>
      <c r="H33" s="1"/>
      <c r="I33" s="1"/>
      <c r="J33" s="16"/>
    </row>
    <row r="34" spans="1:26" ht="15.75" customHeight="1" x14ac:dyDescent="0.25">
      <c r="A34" s="22"/>
      <c r="B34" s="109" t="s">
        <v>60</v>
      </c>
      <c r="C34" s="110"/>
      <c r="D34" s="110"/>
      <c r="E34" s="111"/>
      <c r="F34" s="1"/>
      <c r="G34" s="1"/>
      <c r="H34" s="1"/>
      <c r="I34" s="1"/>
      <c r="J34" s="16"/>
    </row>
    <row r="35" spans="1:26" ht="15.75" customHeight="1" x14ac:dyDescent="0.25">
      <c r="A35" s="22"/>
      <c r="B35" s="110"/>
      <c r="C35" s="110"/>
      <c r="D35" s="110"/>
      <c r="E35" s="11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2" t="s">
        <v>61</v>
      </c>
      <c r="B38" s="103"/>
      <c r="C38" s="103"/>
      <c r="D38" s="103"/>
      <c r="E38" s="113"/>
      <c r="F38" s="94" t="str">
        <f>FormSampel!B19</f>
        <v>PERMIT/AMIR/MAISARAH</v>
      </c>
      <c r="G38" s="95"/>
      <c r="H38" s="98">
        <f>FormSampel!B20</f>
        <v>45546</v>
      </c>
      <c r="I38" s="98"/>
      <c r="J38" s="99"/>
    </row>
    <row r="39" spans="1:26" ht="11.25" customHeight="1" x14ac:dyDescent="0.25">
      <c r="A39" s="104"/>
      <c r="B39" s="105"/>
      <c r="C39" s="105"/>
      <c r="D39" s="105"/>
      <c r="E39" s="114"/>
      <c r="F39" s="96"/>
      <c r="G39" s="97"/>
      <c r="H39" s="100"/>
      <c r="I39" s="100"/>
      <c r="J39" s="101"/>
    </row>
    <row r="40" spans="1:26" ht="15.75" customHeight="1" x14ac:dyDescent="0.25">
      <c r="A40" s="102" t="s">
        <v>62</v>
      </c>
      <c r="B40" s="103"/>
      <c r="C40" s="103"/>
      <c r="D40" s="103"/>
      <c r="E40" s="103"/>
      <c r="F40" s="27"/>
      <c r="G40" s="23"/>
      <c r="H40" s="23"/>
      <c r="I40" s="23"/>
      <c r="J40" s="16"/>
    </row>
    <row r="41" spans="1:26" ht="11.25" customHeight="1" x14ac:dyDescent="0.25">
      <c r="A41" s="104"/>
      <c r="B41" s="105"/>
      <c r="C41" s="105"/>
      <c r="D41" s="105"/>
      <c r="E41" s="10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27F2B-E932-415A-B2D8-76800FD093EC}">
  <sheetPr codeName="Sheet7"/>
  <dimension ref="A1:Z579"/>
  <sheetViews>
    <sheetView view="pageLayout" topLeftCell="A19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8" t="s">
        <v>0</v>
      </c>
      <c r="B1" s="129"/>
      <c r="C1" s="129"/>
      <c r="D1" s="129"/>
      <c r="E1" s="129"/>
      <c r="F1" s="129"/>
      <c r="G1" s="129"/>
      <c r="H1" s="129"/>
      <c r="I1" s="129"/>
      <c r="J1" s="130"/>
    </row>
    <row r="2" spans="1:26" x14ac:dyDescent="0.25">
      <c r="A2" s="128" t="s">
        <v>1</v>
      </c>
      <c r="B2" s="129"/>
      <c r="C2" s="129"/>
      <c r="D2" s="129"/>
      <c r="E2" s="129"/>
      <c r="F2" s="129"/>
      <c r="G2" s="129"/>
      <c r="H2" s="129"/>
      <c r="I2" s="129"/>
      <c r="J2" s="130"/>
    </row>
    <row r="3" spans="1:26" x14ac:dyDescent="0.25">
      <c r="A3" s="131" t="s">
        <v>2</v>
      </c>
      <c r="B3" s="129"/>
      <c r="C3" s="130"/>
      <c r="D3" s="132">
        <f>FormSampel!F10</f>
        <v>0</v>
      </c>
      <c r="E3" s="129"/>
      <c r="F3" s="129"/>
      <c r="G3" s="129"/>
      <c r="H3" s="129"/>
      <c r="I3" s="129"/>
      <c r="J3" s="130"/>
    </row>
    <row r="4" spans="1:26" x14ac:dyDescent="0.25">
      <c r="A4" s="131" t="s">
        <v>3</v>
      </c>
      <c r="B4" s="129"/>
      <c r="C4" s="130"/>
      <c r="D4" s="132">
        <f>FormSampel!B2</f>
        <v>110924</v>
      </c>
      <c r="E4" s="129"/>
      <c r="F4" s="129"/>
      <c r="G4" s="129"/>
      <c r="H4" s="129"/>
      <c r="I4" s="129"/>
      <c r="J4" s="130"/>
    </row>
    <row r="5" spans="1:26" ht="15" customHeight="1" x14ac:dyDescent="0.25">
      <c r="A5" s="133" t="s">
        <v>4</v>
      </c>
      <c r="B5" s="129"/>
      <c r="C5" s="129"/>
      <c r="D5" s="129"/>
      <c r="E5" s="129"/>
      <c r="F5" s="129"/>
      <c r="G5" s="129"/>
      <c r="H5" s="129"/>
      <c r="I5" s="129"/>
      <c r="J5" s="13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3" t="s">
        <v>5</v>
      </c>
      <c r="B6" s="129"/>
      <c r="C6" s="129"/>
      <c r="D6" s="129"/>
      <c r="E6" s="129"/>
      <c r="F6" s="129"/>
      <c r="G6" s="129"/>
      <c r="H6" s="129"/>
      <c r="I6" s="129"/>
      <c r="J6" s="130"/>
    </row>
    <row r="7" spans="1:26" ht="30" customHeight="1" x14ac:dyDescent="0.25">
      <c r="A7" s="134" t="s">
        <v>6</v>
      </c>
      <c r="B7" s="103"/>
      <c r="C7" s="135" t="s">
        <v>7</v>
      </c>
      <c r="D7" s="103"/>
      <c r="E7" s="103"/>
      <c r="F7" s="42" t="s">
        <v>8</v>
      </c>
      <c r="G7" s="126" t="s">
        <v>9</v>
      </c>
      <c r="H7" s="103"/>
      <c r="I7" s="103"/>
      <c r="J7" s="113"/>
    </row>
    <row r="8" spans="1:26" ht="15" customHeight="1" x14ac:dyDescent="0.25">
      <c r="A8" s="115" t="s">
        <v>10</v>
      </c>
      <c r="B8" s="110"/>
      <c r="C8" s="116" t="s">
        <v>11</v>
      </c>
      <c r="D8" s="110"/>
      <c r="E8" s="4"/>
      <c r="F8" s="38" t="s">
        <v>12</v>
      </c>
      <c r="G8" s="6" t="s">
        <v>13</v>
      </c>
      <c r="H8" s="6" t="s">
        <v>14</v>
      </c>
      <c r="I8" s="127"/>
      <c r="J8" s="111"/>
    </row>
    <row r="9" spans="1:26" ht="30" customHeight="1" x14ac:dyDescent="0.25">
      <c r="A9" s="123" t="s">
        <v>15</v>
      </c>
      <c r="B9" s="110"/>
      <c r="C9" s="116" t="s">
        <v>16</v>
      </c>
      <c r="D9" s="110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5" t="s">
        <v>20</v>
      </c>
      <c r="B10" s="110"/>
      <c r="C10" s="116" t="s">
        <v>21</v>
      </c>
      <c r="D10" s="110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3" t="s">
        <v>25</v>
      </c>
      <c r="B11" s="110"/>
      <c r="C11" s="124" t="s">
        <v>26</v>
      </c>
      <c r="D11" s="110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5" t="s">
        <v>30</v>
      </c>
      <c r="B12" s="110"/>
      <c r="C12" s="116" t="s">
        <v>31</v>
      </c>
      <c r="D12" s="110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5" t="s">
        <v>35</v>
      </c>
      <c r="B13" s="110"/>
      <c r="C13" s="116" t="s">
        <v>36</v>
      </c>
      <c r="D13" s="110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5" t="s">
        <v>40</v>
      </c>
      <c r="B14" s="110"/>
      <c r="C14" s="116" t="s">
        <v>41</v>
      </c>
      <c r="D14" s="110"/>
      <c r="E14" s="7"/>
      <c r="F14" s="125" t="s">
        <v>42</v>
      </c>
      <c r="G14" s="110"/>
      <c r="H14" s="110"/>
      <c r="I14" s="122" t="s">
        <v>43</v>
      </c>
      <c r="J14" s="111"/>
    </row>
    <row r="15" spans="1:26" ht="15" customHeight="1" x14ac:dyDescent="0.25">
      <c r="A15" s="115" t="s">
        <v>44</v>
      </c>
      <c r="B15" s="110"/>
      <c r="C15" s="116" t="s">
        <v>45</v>
      </c>
      <c r="D15" s="110"/>
      <c r="E15" s="7"/>
      <c r="F15" s="43" t="s">
        <v>74</v>
      </c>
      <c r="G15" s="120" t="str">
        <f>FormSampel!B14</f>
        <v>HC 16350373 - 2</v>
      </c>
      <c r="H15" s="120"/>
      <c r="I15" s="117">
        <f>FormSampel!C14</f>
        <v>45808</v>
      </c>
      <c r="J15" s="118"/>
    </row>
    <row r="16" spans="1:26" ht="15" customHeight="1" x14ac:dyDescent="0.25">
      <c r="A16" s="115" t="s">
        <v>46</v>
      </c>
      <c r="B16" s="110"/>
      <c r="C16" s="119" t="s">
        <v>47</v>
      </c>
      <c r="D16" s="110"/>
      <c r="E16" s="110"/>
      <c r="F16" s="44" t="s">
        <v>75</v>
      </c>
      <c r="G16" s="121" t="str">
        <f>FormSampel!B15</f>
        <v>HC 15161426 - 2</v>
      </c>
      <c r="H16" s="121"/>
      <c r="I16" s="117">
        <f>FormSampel!C15</f>
        <v>45716</v>
      </c>
      <c r="J16" s="118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1" t="str">
        <f>FormSampel!B16</f>
        <v>HC 14813176 - 2</v>
      </c>
      <c r="H17" s="121"/>
      <c r="I17" s="117">
        <f>FormSampel!C16</f>
        <v>45688</v>
      </c>
      <c r="J17" s="11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4" t="str">
        <f>FormSampel!B17</f>
        <v>HC 28942277 - 2</v>
      </c>
      <c r="H18" s="154"/>
      <c r="I18" s="149">
        <f>FormSampel!C17</f>
        <v>46142</v>
      </c>
      <c r="J18" s="150"/>
    </row>
    <row r="19" spans="1:26" x14ac:dyDescent="0.25">
      <c r="A19" s="151" t="s">
        <v>48</v>
      </c>
      <c r="B19" s="152"/>
      <c r="C19" s="152"/>
      <c r="D19" s="152"/>
      <c r="E19" s="152"/>
      <c r="F19" s="152"/>
      <c r="G19" s="152"/>
      <c r="H19" s="152"/>
      <c r="I19" s="152"/>
      <c r="J19" s="153"/>
    </row>
    <row r="20" spans="1:26" ht="26.25" customHeight="1" x14ac:dyDescent="0.25">
      <c r="A20" s="141" t="s">
        <v>49</v>
      </c>
      <c r="B20" s="137"/>
      <c r="C20" s="29">
        <f>FormSampel!G10</f>
        <v>0</v>
      </c>
      <c r="D20" s="30" t="s">
        <v>50</v>
      </c>
      <c r="E20" s="31">
        <v>1000</v>
      </c>
      <c r="F20" s="136" t="s">
        <v>51</v>
      </c>
      <c r="G20" s="137"/>
      <c r="H20" s="138" t="str">
        <f>IF(AND(C21&lt;0.15),"&lt;0.15",C21)</f>
        <v>&lt;0.15</v>
      </c>
      <c r="I20" s="139"/>
      <c r="J20" s="32" t="s">
        <v>52</v>
      </c>
    </row>
    <row r="21" spans="1:26" ht="15.75" customHeight="1" x14ac:dyDescent="0.25">
      <c r="A21" s="33" t="s">
        <v>53</v>
      </c>
      <c r="B21" s="34"/>
      <c r="C21" s="106">
        <f>C20/1000</f>
        <v>0</v>
      </c>
      <c r="D21" s="107"/>
      <c r="E21" s="35"/>
      <c r="F21" s="34"/>
      <c r="G21" s="34"/>
      <c r="H21" s="34"/>
      <c r="I21" s="34"/>
      <c r="J21" s="32"/>
    </row>
    <row r="22" spans="1:26" ht="15.75" customHeight="1" x14ac:dyDescent="0.25">
      <c r="A22" s="142" t="s">
        <v>56</v>
      </c>
      <c r="B22" s="143"/>
      <c r="C22" s="143"/>
      <c r="D22" s="143"/>
      <c r="E22" s="143"/>
      <c r="F22" s="143"/>
      <c r="G22" s="143"/>
      <c r="H22" s="143"/>
      <c r="I22" s="143"/>
      <c r="J22" s="14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1" t="s">
        <v>49</v>
      </c>
      <c r="B23" s="137"/>
      <c r="C23" s="29">
        <f>FormSampel!H10</f>
        <v>0</v>
      </c>
      <c r="D23" s="30" t="s">
        <v>50</v>
      </c>
      <c r="E23" s="36">
        <v>1000</v>
      </c>
      <c r="F23" s="136" t="s">
        <v>51</v>
      </c>
      <c r="G23" s="137"/>
      <c r="H23" s="138" t="str">
        <f>IF(C24&lt;0.15,"&lt;0.15",C24)</f>
        <v>&lt;0.15</v>
      </c>
      <c r="I23" s="139"/>
      <c r="J23" s="32" t="s">
        <v>52</v>
      </c>
    </row>
    <row r="24" spans="1:26" ht="15.75" customHeight="1" x14ac:dyDescent="0.25">
      <c r="A24" s="33" t="s">
        <v>53</v>
      </c>
      <c r="B24" s="34"/>
      <c r="C24" s="106">
        <f>C23/1000</f>
        <v>0</v>
      </c>
      <c r="D24" s="107"/>
      <c r="E24" s="35"/>
      <c r="F24" s="34"/>
      <c r="G24" s="34"/>
      <c r="H24" s="34"/>
      <c r="I24" s="34"/>
      <c r="J24" s="32"/>
    </row>
    <row r="25" spans="1:26" ht="15.75" customHeight="1" x14ac:dyDescent="0.25">
      <c r="A25" s="142" t="s">
        <v>54</v>
      </c>
      <c r="B25" s="143"/>
      <c r="C25" s="143"/>
      <c r="D25" s="143"/>
      <c r="E25" s="143"/>
      <c r="F25" s="143"/>
      <c r="G25" s="143"/>
      <c r="H25" s="143"/>
      <c r="I25" s="143"/>
      <c r="J25" s="14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0" t="s">
        <v>49</v>
      </c>
      <c r="B26" s="110"/>
      <c r="C26" s="29">
        <f>FormSampel!I10</f>
        <v>0</v>
      </c>
      <c r="D26" s="30" t="s">
        <v>50</v>
      </c>
      <c r="E26" s="36">
        <v>1000</v>
      </c>
      <c r="F26" s="145" t="s">
        <v>51</v>
      </c>
      <c r="G26" s="137"/>
      <c r="H26" s="138" t="str">
        <f>IF(AND(C27&lt;0.15),"&lt;0.15",C27)</f>
        <v>&lt;0.15</v>
      </c>
      <c r="I26" s="139"/>
      <c r="J26" s="37" t="s">
        <v>52</v>
      </c>
    </row>
    <row r="27" spans="1:26" ht="15.75" customHeight="1" x14ac:dyDescent="0.25">
      <c r="A27" s="33" t="s">
        <v>53</v>
      </c>
      <c r="B27" s="34"/>
      <c r="C27" s="146">
        <f>C26/1000</f>
        <v>0</v>
      </c>
      <c r="D27" s="147"/>
      <c r="E27" s="35"/>
      <c r="F27" s="34"/>
      <c r="G27" s="34"/>
      <c r="H27" s="34"/>
      <c r="I27" s="34"/>
      <c r="J27" s="32"/>
    </row>
    <row r="28" spans="1:26" ht="15.75" customHeight="1" x14ac:dyDescent="0.25">
      <c r="A28" s="142" t="s">
        <v>55</v>
      </c>
      <c r="B28" s="143"/>
      <c r="C28" s="143"/>
      <c r="D28" s="143"/>
      <c r="E28" s="143"/>
      <c r="F28" s="143"/>
      <c r="G28" s="143"/>
      <c r="H28" s="143"/>
      <c r="I28" s="143"/>
      <c r="J28" s="14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0" t="s">
        <v>49</v>
      </c>
      <c r="B29" s="110"/>
      <c r="C29" s="29">
        <f>FormSampel!J10</f>
        <v>0</v>
      </c>
      <c r="D29" s="30" t="s">
        <v>50</v>
      </c>
      <c r="E29" s="36">
        <v>1000</v>
      </c>
      <c r="F29" s="148" t="s">
        <v>51</v>
      </c>
      <c r="G29" s="110"/>
      <c r="H29" s="138" t="str">
        <f>IF(AND(C30&lt;0.15),"&lt;0.15",C30)</f>
        <v>&lt;0.15</v>
      </c>
      <c r="I29" s="139"/>
      <c r="J29" s="32" t="s">
        <v>52</v>
      </c>
    </row>
    <row r="30" spans="1:26" ht="15.75" customHeight="1" x14ac:dyDescent="0.25">
      <c r="A30" s="33" t="s">
        <v>53</v>
      </c>
      <c r="B30" s="34"/>
      <c r="C30" s="106">
        <f>C29/1000</f>
        <v>0</v>
      </c>
      <c r="D30" s="107"/>
      <c r="E30" s="35"/>
      <c r="F30" s="34"/>
      <c r="G30" s="34"/>
      <c r="H30" s="34"/>
      <c r="I30" s="34"/>
      <c r="J30" s="32"/>
    </row>
    <row r="31" spans="1:26" ht="15.75" customHeight="1" x14ac:dyDescent="0.25">
      <c r="A31" s="108" t="s">
        <v>57</v>
      </c>
      <c r="B31" s="10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9" t="s">
        <v>59</v>
      </c>
      <c r="C32" s="110"/>
      <c r="D32" s="110"/>
      <c r="E32" s="111"/>
      <c r="F32" s="1"/>
      <c r="G32" s="1"/>
      <c r="H32" s="1"/>
      <c r="I32" s="1"/>
      <c r="J32" s="16"/>
    </row>
    <row r="33" spans="1:26" ht="15.75" customHeight="1" x14ac:dyDescent="0.25">
      <c r="A33" s="20"/>
      <c r="B33" s="110"/>
      <c r="C33" s="110"/>
      <c r="D33" s="110"/>
      <c r="E33" s="111"/>
      <c r="F33" s="21"/>
      <c r="G33" s="1"/>
      <c r="H33" s="1"/>
      <c r="I33" s="1"/>
      <c r="J33" s="16"/>
    </row>
    <row r="34" spans="1:26" ht="15.75" customHeight="1" x14ac:dyDescent="0.25">
      <c r="A34" s="22"/>
      <c r="B34" s="109" t="s">
        <v>60</v>
      </c>
      <c r="C34" s="110"/>
      <c r="D34" s="110"/>
      <c r="E34" s="111"/>
      <c r="F34" s="1"/>
      <c r="G34" s="1"/>
      <c r="H34" s="1"/>
      <c r="I34" s="1"/>
      <c r="J34" s="16"/>
    </row>
    <row r="35" spans="1:26" ht="15.75" customHeight="1" x14ac:dyDescent="0.25">
      <c r="A35" s="22"/>
      <c r="B35" s="110"/>
      <c r="C35" s="110"/>
      <c r="D35" s="110"/>
      <c r="E35" s="11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2" t="s">
        <v>61</v>
      </c>
      <c r="B38" s="103"/>
      <c r="C38" s="103"/>
      <c r="D38" s="103"/>
      <c r="E38" s="113"/>
      <c r="F38" s="94" t="str">
        <f>FormSampel!B19</f>
        <v>PERMIT/AMIR/MAISARAH</v>
      </c>
      <c r="G38" s="95"/>
      <c r="H38" s="98">
        <f>FormSampel!B20</f>
        <v>45546</v>
      </c>
      <c r="I38" s="98"/>
      <c r="J38" s="99"/>
    </row>
    <row r="39" spans="1:26" ht="11.25" customHeight="1" x14ac:dyDescent="0.25">
      <c r="A39" s="104"/>
      <c r="B39" s="105"/>
      <c r="C39" s="105"/>
      <c r="D39" s="105"/>
      <c r="E39" s="114"/>
      <c r="F39" s="96"/>
      <c r="G39" s="97"/>
      <c r="H39" s="100"/>
      <c r="I39" s="100"/>
      <c r="J39" s="101"/>
    </row>
    <row r="40" spans="1:26" ht="15.75" customHeight="1" x14ac:dyDescent="0.25">
      <c r="A40" s="102" t="s">
        <v>62</v>
      </c>
      <c r="B40" s="103"/>
      <c r="C40" s="103"/>
      <c r="D40" s="103"/>
      <c r="E40" s="103"/>
      <c r="F40" s="27"/>
      <c r="G40" s="23"/>
      <c r="H40" s="23"/>
      <c r="I40" s="23"/>
      <c r="J40" s="16"/>
    </row>
    <row r="41" spans="1:26" ht="11.25" customHeight="1" x14ac:dyDescent="0.25">
      <c r="A41" s="104"/>
      <c r="B41" s="105"/>
      <c r="C41" s="105"/>
      <c r="D41" s="105"/>
      <c r="E41" s="10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04DB7-A2ED-48E9-82FD-894C9EA51ED2}">
  <sheetPr codeName="Sheet8"/>
  <dimension ref="A1:Z579"/>
  <sheetViews>
    <sheetView view="pageLayout" topLeftCell="A12" zoomScale="112" zoomScaleNormal="100" zoomScalePageLayoutView="112" workbookViewId="0">
      <selection activeCell="A19" sqref="A19:J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8" t="s">
        <v>0</v>
      </c>
      <c r="B1" s="129"/>
      <c r="C1" s="129"/>
      <c r="D1" s="129"/>
      <c r="E1" s="129"/>
      <c r="F1" s="129"/>
      <c r="G1" s="129"/>
      <c r="H1" s="129"/>
      <c r="I1" s="129"/>
      <c r="J1" s="130"/>
    </row>
    <row r="2" spans="1:26" x14ac:dyDescent="0.25">
      <c r="A2" s="128" t="s">
        <v>1</v>
      </c>
      <c r="B2" s="129"/>
      <c r="C2" s="129"/>
      <c r="D2" s="129"/>
      <c r="E2" s="129"/>
      <c r="F2" s="129"/>
      <c r="G2" s="129"/>
      <c r="H2" s="129"/>
      <c r="I2" s="129"/>
      <c r="J2" s="130"/>
    </row>
    <row r="3" spans="1:26" x14ac:dyDescent="0.25">
      <c r="A3" s="131" t="s">
        <v>2</v>
      </c>
      <c r="B3" s="129"/>
      <c r="C3" s="130"/>
      <c r="D3" s="132">
        <f>FormSampel!F11</f>
        <v>0</v>
      </c>
      <c r="E3" s="129"/>
      <c r="F3" s="129"/>
      <c r="G3" s="129"/>
      <c r="H3" s="129"/>
      <c r="I3" s="129"/>
      <c r="J3" s="130"/>
    </row>
    <row r="4" spans="1:26" x14ac:dyDescent="0.25">
      <c r="A4" s="131" t="s">
        <v>3</v>
      </c>
      <c r="B4" s="129"/>
      <c r="C4" s="130"/>
      <c r="D4" s="132">
        <f>FormSampel!B2</f>
        <v>110924</v>
      </c>
      <c r="E4" s="129"/>
      <c r="F4" s="129"/>
      <c r="G4" s="129"/>
      <c r="H4" s="129"/>
      <c r="I4" s="129"/>
      <c r="J4" s="130"/>
    </row>
    <row r="5" spans="1:26" ht="15" customHeight="1" x14ac:dyDescent="0.25">
      <c r="A5" s="133" t="s">
        <v>4</v>
      </c>
      <c r="B5" s="129"/>
      <c r="C5" s="129"/>
      <c r="D5" s="129"/>
      <c r="E5" s="129"/>
      <c r="F5" s="129"/>
      <c r="G5" s="129"/>
      <c r="H5" s="129"/>
      <c r="I5" s="129"/>
      <c r="J5" s="13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3" t="s">
        <v>5</v>
      </c>
      <c r="B6" s="129"/>
      <c r="C6" s="129"/>
      <c r="D6" s="129"/>
      <c r="E6" s="129"/>
      <c r="F6" s="129"/>
      <c r="G6" s="129"/>
      <c r="H6" s="129"/>
      <c r="I6" s="129"/>
      <c r="J6" s="130"/>
    </row>
    <row r="7" spans="1:26" ht="30" customHeight="1" x14ac:dyDescent="0.25">
      <c r="A7" s="134" t="s">
        <v>6</v>
      </c>
      <c r="B7" s="103"/>
      <c r="C7" s="135" t="s">
        <v>7</v>
      </c>
      <c r="D7" s="103"/>
      <c r="E7" s="103"/>
      <c r="F7" s="42" t="s">
        <v>8</v>
      </c>
      <c r="G7" s="126" t="s">
        <v>9</v>
      </c>
      <c r="H7" s="103"/>
      <c r="I7" s="103"/>
      <c r="J7" s="113"/>
    </row>
    <row r="8" spans="1:26" ht="15" customHeight="1" x14ac:dyDescent="0.25">
      <c r="A8" s="115" t="s">
        <v>10</v>
      </c>
      <c r="B8" s="110"/>
      <c r="C8" s="116" t="s">
        <v>11</v>
      </c>
      <c r="D8" s="110"/>
      <c r="E8" s="4"/>
      <c r="F8" s="38" t="s">
        <v>12</v>
      </c>
      <c r="G8" s="6" t="s">
        <v>13</v>
      </c>
      <c r="H8" s="6" t="s">
        <v>14</v>
      </c>
      <c r="I8" s="127"/>
      <c r="J8" s="111"/>
    </row>
    <row r="9" spans="1:26" ht="30" customHeight="1" x14ac:dyDescent="0.25">
      <c r="A9" s="123" t="s">
        <v>15</v>
      </c>
      <c r="B9" s="110"/>
      <c r="C9" s="116" t="s">
        <v>16</v>
      </c>
      <c r="D9" s="110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5" t="s">
        <v>20</v>
      </c>
      <c r="B10" s="110"/>
      <c r="C10" s="116" t="s">
        <v>21</v>
      </c>
      <c r="D10" s="110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3" t="s">
        <v>25</v>
      </c>
      <c r="B11" s="110"/>
      <c r="C11" s="124" t="s">
        <v>26</v>
      </c>
      <c r="D11" s="110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5" t="s">
        <v>30</v>
      </c>
      <c r="B12" s="110"/>
      <c r="C12" s="116" t="s">
        <v>31</v>
      </c>
      <c r="D12" s="110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5" t="s">
        <v>35</v>
      </c>
      <c r="B13" s="110"/>
      <c r="C13" s="116" t="s">
        <v>36</v>
      </c>
      <c r="D13" s="110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5" t="s">
        <v>40</v>
      </c>
      <c r="B14" s="110"/>
      <c r="C14" s="116" t="s">
        <v>41</v>
      </c>
      <c r="D14" s="110"/>
      <c r="E14" s="7"/>
      <c r="F14" s="125" t="s">
        <v>42</v>
      </c>
      <c r="G14" s="110"/>
      <c r="H14" s="110"/>
      <c r="I14" s="122" t="s">
        <v>43</v>
      </c>
      <c r="J14" s="111"/>
    </row>
    <row r="15" spans="1:26" ht="15" customHeight="1" x14ac:dyDescent="0.25">
      <c r="A15" s="115" t="s">
        <v>44</v>
      </c>
      <c r="B15" s="110"/>
      <c r="C15" s="116" t="s">
        <v>45</v>
      </c>
      <c r="D15" s="110"/>
      <c r="E15" s="7"/>
      <c r="F15" s="43" t="s">
        <v>74</v>
      </c>
      <c r="G15" s="120" t="str">
        <f>FormSampel!B14</f>
        <v>HC 16350373 - 2</v>
      </c>
      <c r="H15" s="120"/>
      <c r="I15" s="117">
        <f>FormSampel!C14</f>
        <v>45808</v>
      </c>
      <c r="J15" s="118"/>
    </row>
    <row r="16" spans="1:26" ht="15" customHeight="1" x14ac:dyDescent="0.25">
      <c r="A16" s="115" t="s">
        <v>46</v>
      </c>
      <c r="B16" s="110"/>
      <c r="C16" s="119" t="s">
        <v>47</v>
      </c>
      <c r="D16" s="110"/>
      <c r="E16" s="110"/>
      <c r="F16" s="44" t="s">
        <v>75</v>
      </c>
      <c r="G16" s="121" t="str">
        <f>FormSampel!B15</f>
        <v>HC 15161426 - 2</v>
      </c>
      <c r="H16" s="121"/>
      <c r="I16" s="117">
        <f>FormSampel!C15</f>
        <v>45716</v>
      </c>
      <c r="J16" s="118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1" t="str">
        <f>FormSampel!B16</f>
        <v>HC 14813176 - 2</v>
      </c>
      <c r="H17" s="121"/>
      <c r="I17" s="117">
        <f>FormSampel!C16</f>
        <v>45688</v>
      </c>
      <c r="J17" s="11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4" t="str">
        <f>FormSampel!B17</f>
        <v>HC 28942277 - 2</v>
      </c>
      <c r="H18" s="154"/>
      <c r="I18" s="149">
        <f>FormSampel!C17</f>
        <v>46142</v>
      </c>
      <c r="J18" s="150"/>
    </row>
    <row r="19" spans="1:26" x14ac:dyDescent="0.25">
      <c r="A19" s="151" t="s">
        <v>48</v>
      </c>
      <c r="B19" s="152"/>
      <c r="C19" s="152"/>
      <c r="D19" s="152"/>
      <c r="E19" s="152"/>
      <c r="F19" s="152"/>
      <c r="G19" s="152"/>
      <c r="H19" s="152"/>
      <c r="I19" s="152"/>
      <c r="J19" s="153"/>
    </row>
    <row r="20" spans="1:26" ht="26.25" customHeight="1" x14ac:dyDescent="0.25">
      <c r="A20" s="141" t="s">
        <v>49</v>
      </c>
      <c r="B20" s="137"/>
      <c r="C20" s="29">
        <f>FormSampel!G11</f>
        <v>0</v>
      </c>
      <c r="D20" s="30" t="s">
        <v>50</v>
      </c>
      <c r="E20" s="31">
        <v>1000</v>
      </c>
      <c r="F20" s="136" t="s">
        <v>51</v>
      </c>
      <c r="G20" s="137"/>
      <c r="H20" s="138" t="str">
        <f>IF(AND(C21&lt;0.15),"&lt;0.15",C21)</f>
        <v>&lt;0.15</v>
      </c>
      <c r="I20" s="139"/>
      <c r="J20" s="32" t="s">
        <v>52</v>
      </c>
    </row>
    <row r="21" spans="1:26" ht="15.75" customHeight="1" x14ac:dyDescent="0.25">
      <c r="A21" s="33" t="s">
        <v>53</v>
      </c>
      <c r="B21" s="34"/>
      <c r="C21" s="106">
        <f>C20/1000</f>
        <v>0</v>
      </c>
      <c r="D21" s="107"/>
      <c r="E21" s="35"/>
      <c r="F21" s="34"/>
      <c r="G21" s="34"/>
      <c r="H21" s="34"/>
      <c r="I21" s="34"/>
      <c r="J21" s="32"/>
    </row>
    <row r="22" spans="1:26" ht="15.75" customHeight="1" x14ac:dyDescent="0.25">
      <c r="A22" s="142" t="s">
        <v>56</v>
      </c>
      <c r="B22" s="143"/>
      <c r="C22" s="143"/>
      <c r="D22" s="143"/>
      <c r="E22" s="143"/>
      <c r="F22" s="143"/>
      <c r="G22" s="143"/>
      <c r="H22" s="143"/>
      <c r="I22" s="143"/>
      <c r="J22" s="14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1" t="s">
        <v>49</v>
      </c>
      <c r="B23" s="137"/>
      <c r="C23" s="29">
        <f>FormSampel!H11</f>
        <v>0</v>
      </c>
      <c r="D23" s="30" t="s">
        <v>50</v>
      </c>
      <c r="E23" s="36">
        <v>1000</v>
      </c>
      <c r="F23" s="136" t="s">
        <v>51</v>
      </c>
      <c r="G23" s="137"/>
      <c r="H23" s="138" t="str">
        <f>IF(C24&lt;0.15,"&lt;0.15",C24)</f>
        <v>&lt;0.15</v>
      </c>
      <c r="I23" s="139"/>
      <c r="J23" s="32" t="s">
        <v>52</v>
      </c>
    </row>
    <row r="24" spans="1:26" ht="15.75" customHeight="1" x14ac:dyDescent="0.25">
      <c r="A24" s="33" t="s">
        <v>53</v>
      </c>
      <c r="B24" s="34"/>
      <c r="C24" s="106">
        <f>C23/1000</f>
        <v>0</v>
      </c>
      <c r="D24" s="107"/>
      <c r="E24" s="35"/>
      <c r="F24" s="34"/>
      <c r="G24" s="34"/>
      <c r="H24" s="34"/>
      <c r="I24" s="34"/>
      <c r="J24" s="32"/>
    </row>
    <row r="25" spans="1:26" ht="15.75" customHeight="1" x14ac:dyDescent="0.25">
      <c r="A25" s="142" t="s">
        <v>54</v>
      </c>
      <c r="B25" s="143"/>
      <c r="C25" s="143"/>
      <c r="D25" s="143"/>
      <c r="E25" s="143"/>
      <c r="F25" s="143"/>
      <c r="G25" s="143"/>
      <c r="H25" s="143"/>
      <c r="I25" s="143"/>
      <c r="J25" s="14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0" t="s">
        <v>49</v>
      </c>
      <c r="B26" s="110"/>
      <c r="C26" s="29">
        <f>FormSampel!I11</f>
        <v>0</v>
      </c>
      <c r="D26" s="30" t="s">
        <v>50</v>
      </c>
      <c r="E26" s="36">
        <v>1000</v>
      </c>
      <c r="F26" s="145" t="s">
        <v>51</v>
      </c>
      <c r="G26" s="137"/>
      <c r="H26" s="138" t="str">
        <f>IF(AND(C27&lt;0.15),"&lt;0.15",C27)</f>
        <v>&lt;0.15</v>
      </c>
      <c r="I26" s="139"/>
      <c r="J26" s="37" t="s">
        <v>52</v>
      </c>
    </row>
    <row r="27" spans="1:26" ht="15.75" customHeight="1" x14ac:dyDescent="0.25">
      <c r="A27" s="33" t="s">
        <v>53</v>
      </c>
      <c r="B27" s="34"/>
      <c r="C27" s="146">
        <f>C26/1000</f>
        <v>0</v>
      </c>
      <c r="D27" s="147"/>
      <c r="E27" s="35"/>
      <c r="F27" s="34"/>
      <c r="G27" s="34"/>
      <c r="H27" s="34"/>
      <c r="I27" s="34"/>
      <c r="J27" s="32"/>
    </row>
    <row r="28" spans="1:26" ht="15.75" customHeight="1" x14ac:dyDescent="0.25">
      <c r="A28" s="142" t="s">
        <v>55</v>
      </c>
      <c r="B28" s="143"/>
      <c r="C28" s="143"/>
      <c r="D28" s="143"/>
      <c r="E28" s="143"/>
      <c r="F28" s="143"/>
      <c r="G28" s="143"/>
      <c r="H28" s="143"/>
      <c r="I28" s="143"/>
      <c r="J28" s="14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0" t="s">
        <v>49</v>
      </c>
      <c r="B29" s="110"/>
      <c r="C29" s="29">
        <f>FormSampel!J11</f>
        <v>0</v>
      </c>
      <c r="D29" s="30" t="s">
        <v>50</v>
      </c>
      <c r="E29" s="36">
        <v>1000</v>
      </c>
      <c r="F29" s="148" t="s">
        <v>51</v>
      </c>
      <c r="G29" s="110"/>
      <c r="H29" s="138" t="str">
        <f>IF(AND(C30&lt;0.15),"&lt;0.15",C30)</f>
        <v>&lt;0.15</v>
      </c>
      <c r="I29" s="139"/>
      <c r="J29" s="32" t="s">
        <v>52</v>
      </c>
    </row>
    <row r="30" spans="1:26" ht="15.75" customHeight="1" x14ac:dyDescent="0.25">
      <c r="A30" s="33" t="s">
        <v>53</v>
      </c>
      <c r="B30" s="34"/>
      <c r="C30" s="106">
        <f>C29/1000</f>
        <v>0</v>
      </c>
      <c r="D30" s="107"/>
      <c r="E30" s="35"/>
      <c r="F30" s="34"/>
      <c r="G30" s="34"/>
      <c r="H30" s="34"/>
      <c r="I30" s="34"/>
      <c r="J30" s="32"/>
    </row>
    <row r="31" spans="1:26" ht="15.75" customHeight="1" x14ac:dyDescent="0.25">
      <c r="A31" s="108" t="s">
        <v>57</v>
      </c>
      <c r="B31" s="10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9" t="s">
        <v>59</v>
      </c>
      <c r="C32" s="110"/>
      <c r="D32" s="110"/>
      <c r="E32" s="111"/>
      <c r="F32" s="1"/>
      <c r="G32" s="1"/>
      <c r="H32" s="1"/>
      <c r="I32" s="1"/>
      <c r="J32" s="16"/>
    </row>
    <row r="33" spans="1:26" ht="15.75" customHeight="1" x14ac:dyDescent="0.25">
      <c r="A33" s="20"/>
      <c r="B33" s="110"/>
      <c r="C33" s="110"/>
      <c r="D33" s="110"/>
      <c r="E33" s="111"/>
      <c r="F33" s="21"/>
      <c r="G33" s="1"/>
      <c r="H33" s="1"/>
      <c r="I33" s="1"/>
      <c r="J33" s="16"/>
    </row>
    <row r="34" spans="1:26" ht="15.75" customHeight="1" x14ac:dyDescent="0.25">
      <c r="A34" s="22"/>
      <c r="B34" s="109" t="s">
        <v>60</v>
      </c>
      <c r="C34" s="110"/>
      <c r="D34" s="110"/>
      <c r="E34" s="111"/>
      <c r="F34" s="1"/>
      <c r="G34" s="1"/>
      <c r="H34" s="1"/>
      <c r="I34" s="1"/>
      <c r="J34" s="16"/>
    </row>
    <row r="35" spans="1:26" ht="15.75" customHeight="1" x14ac:dyDescent="0.25">
      <c r="A35" s="22"/>
      <c r="B35" s="110"/>
      <c r="C35" s="110"/>
      <c r="D35" s="110"/>
      <c r="E35" s="11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2" t="s">
        <v>61</v>
      </c>
      <c r="B38" s="103"/>
      <c r="C38" s="103"/>
      <c r="D38" s="103"/>
      <c r="E38" s="113"/>
      <c r="F38" s="94" t="str">
        <f>FormSampel!B19</f>
        <v>PERMIT/AMIR/MAISARAH</v>
      </c>
      <c r="G38" s="95"/>
      <c r="H38" s="98">
        <f>FormSampel!B20</f>
        <v>45546</v>
      </c>
      <c r="I38" s="98"/>
      <c r="J38" s="99"/>
    </row>
    <row r="39" spans="1:26" ht="11.25" customHeight="1" x14ac:dyDescent="0.25">
      <c r="A39" s="104"/>
      <c r="B39" s="105"/>
      <c r="C39" s="105"/>
      <c r="D39" s="105"/>
      <c r="E39" s="114"/>
      <c r="F39" s="96"/>
      <c r="G39" s="97"/>
      <c r="H39" s="100"/>
      <c r="I39" s="100"/>
      <c r="J39" s="101"/>
    </row>
    <row r="40" spans="1:26" ht="15.75" customHeight="1" x14ac:dyDescent="0.25">
      <c r="A40" s="102" t="s">
        <v>62</v>
      </c>
      <c r="B40" s="103"/>
      <c r="C40" s="103"/>
      <c r="D40" s="103"/>
      <c r="E40" s="103"/>
      <c r="F40" s="27"/>
      <c r="G40" s="23"/>
      <c r="H40" s="23"/>
      <c r="I40" s="23"/>
      <c r="J40" s="16"/>
    </row>
    <row r="41" spans="1:26" ht="11.25" customHeight="1" x14ac:dyDescent="0.25">
      <c r="A41" s="104"/>
      <c r="B41" s="105"/>
      <c r="C41" s="105"/>
      <c r="D41" s="105"/>
      <c r="E41" s="10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F4E2D-318D-45CF-BF35-DBCA876EC217}">
  <sheetPr codeName="Sheet9"/>
  <dimension ref="A1:Z579"/>
  <sheetViews>
    <sheetView view="pageLayout" topLeftCell="A19" zoomScale="112" zoomScaleNormal="100" zoomScalePageLayoutView="112" workbookViewId="0">
      <selection activeCell="A19" sqref="A19:J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8" t="s">
        <v>0</v>
      </c>
      <c r="B1" s="129"/>
      <c r="C1" s="129"/>
      <c r="D1" s="129"/>
      <c r="E1" s="129"/>
      <c r="F1" s="129"/>
      <c r="G1" s="129"/>
      <c r="H1" s="129"/>
      <c r="I1" s="129"/>
      <c r="J1" s="130"/>
    </row>
    <row r="2" spans="1:26" x14ac:dyDescent="0.25">
      <c r="A2" s="128" t="s">
        <v>1</v>
      </c>
      <c r="B2" s="129"/>
      <c r="C2" s="129"/>
      <c r="D2" s="129"/>
      <c r="E2" s="129"/>
      <c r="F2" s="129"/>
      <c r="G2" s="129"/>
      <c r="H2" s="129"/>
      <c r="I2" s="129"/>
      <c r="J2" s="130"/>
    </row>
    <row r="3" spans="1:26" x14ac:dyDescent="0.25">
      <c r="A3" s="131" t="s">
        <v>2</v>
      </c>
      <c r="B3" s="129"/>
      <c r="C3" s="130"/>
      <c r="D3" s="132">
        <f>FormSampel!F12</f>
        <v>0</v>
      </c>
      <c r="E3" s="129"/>
      <c r="F3" s="129"/>
      <c r="G3" s="129"/>
      <c r="H3" s="129"/>
      <c r="I3" s="129"/>
      <c r="J3" s="130"/>
    </row>
    <row r="4" spans="1:26" x14ac:dyDescent="0.25">
      <c r="A4" s="131" t="s">
        <v>3</v>
      </c>
      <c r="B4" s="129"/>
      <c r="C4" s="130"/>
      <c r="D4" s="132">
        <f>FormSampel!B2</f>
        <v>110924</v>
      </c>
      <c r="E4" s="129"/>
      <c r="F4" s="129"/>
      <c r="G4" s="129"/>
      <c r="H4" s="129"/>
      <c r="I4" s="129"/>
      <c r="J4" s="130"/>
    </row>
    <row r="5" spans="1:26" ht="15" customHeight="1" x14ac:dyDescent="0.25">
      <c r="A5" s="133" t="s">
        <v>4</v>
      </c>
      <c r="B5" s="129"/>
      <c r="C5" s="129"/>
      <c r="D5" s="129"/>
      <c r="E5" s="129"/>
      <c r="F5" s="129"/>
      <c r="G5" s="129"/>
      <c r="H5" s="129"/>
      <c r="I5" s="129"/>
      <c r="J5" s="13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3" t="s">
        <v>5</v>
      </c>
      <c r="B6" s="129"/>
      <c r="C6" s="129"/>
      <c r="D6" s="129"/>
      <c r="E6" s="129"/>
      <c r="F6" s="129"/>
      <c r="G6" s="129"/>
      <c r="H6" s="129"/>
      <c r="I6" s="129"/>
      <c r="J6" s="130"/>
    </row>
    <row r="7" spans="1:26" ht="30" customHeight="1" x14ac:dyDescent="0.25">
      <c r="A7" s="134" t="s">
        <v>6</v>
      </c>
      <c r="B7" s="103"/>
      <c r="C7" s="135" t="s">
        <v>7</v>
      </c>
      <c r="D7" s="103"/>
      <c r="E7" s="103"/>
      <c r="F7" s="42" t="s">
        <v>8</v>
      </c>
      <c r="G7" s="126" t="s">
        <v>9</v>
      </c>
      <c r="H7" s="103"/>
      <c r="I7" s="103"/>
      <c r="J7" s="113"/>
    </row>
    <row r="8" spans="1:26" ht="15" customHeight="1" x14ac:dyDescent="0.25">
      <c r="A8" s="115" t="s">
        <v>10</v>
      </c>
      <c r="B8" s="110"/>
      <c r="C8" s="116" t="s">
        <v>11</v>
      </c>
      <c r="D8" s="110"/>
      <c r="E8" s="4"/>
      <c r="F8" s="38" t="s">
        <v>12</v>
      </c>
      <c r="G8" s="6" t="s">
        <v>13</v>
      </c>
      <c r="H8" s="6" t="s">
        <v>14</v>
      </c>
      <c r="I8" s="127"/>
      <c r="J8" s="111"/>
    </row>
    <row r="9" spans="1:26" ht="30" customHeight="1" x14ac:dyDescent="0.25">
      <c r="A9" s="123" t="s">
        <v>15</v>
      </c>
      <c r="B9" s="110"/>
      <c r="C9" s="116" t="s">
        <v>16</v>
      </c>
      <c r="D9" s="110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5" t="s">
        <v>20</v>
      </c>
      <c r="B10" s="110"/>
      <c r="C10" s="116" t="s">
        <v>21</v>
      </c>
      <c r="D10" s="110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3" t="s">
        <v>25</v>
      </c>
      <c r="B11" s="110"/>
      <c r="C11" s="124" t="s">
        <v>26</v>
      </c>
      <c r="D11" s="110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5" t="s">
        <v>30</v>
      </c>
      <c r="B12" s="110"/>
      <c r="C12" s="116" t="s">
        <v>31</v>
      </c>
      <c r="D12" s="110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5" t="s">
        <v>35</v>
      </c>
      <c r="B13" s="110"/>
      <c r="C13" s="116" t="s">
        <v>36</v>
      </c>
      <c r="D13" s="110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5" t="s">
        <v>40</v>
      </c>
      <c r="B14" s="110"/>
      <c r="C14" s="116" t="s">
        <v>41</v>
      </c>
      <c r="D14" s="110"/>
      <c r="E14" s="7"/>
      <c r="F14" s="125" t="s">
        <v>42</v>
      </c>
      <c r="G14" s="110"/>
      <c r="H14" s="110"/>
      <c r="I14" s="122" t="s">
        <v>43</v>
      </c>
      <c r="J14" s="111"/>
    </row>
    <row r="15" spans="1:26" ht="15" customHeight="1" x14ac:dyDescent="0.25">
      <c r="A15" s="115" t="s">
        <v>44</v>
      </c>
      <c r="B15" s="110"/>
      <c r="C15" s="116" t="s">
        <v>45</v>
      </c>
      <c r="D15" s="110"/>
      <c r="E15" s="7"/>
      <c r="F15" s="43" t="s">
        <v>74</v>
      </c>
      <c r="G15" s="120" t="str">
        <f>FormSampel!B14</f>
        <v>HC 16350373 - 2</v>
      </c>
      <c r="H15" s="120"/>
      <c r="I15" s="117">
        <f>FormSampel!C14</f>
        <v>45808</v>
      </c>
      <c r="J15" s="118"/>
    </row>
    <row r="16" spans="1:26" ht="15" customHeight="1" x14ac:dyDescent="0.25">
      <c r="A16" s="115" t="s">
        <v>46</v>
      </c>
      <c r="B16" s="110"/>
      <c r="C16" s="119" t="s">
        <v>47</v>
      </c>
      <c r="D16" s="110"/>
      <c r="E16" s="110"/>
      <c r="F16" s="44" t="s">
        <v>75</v>
      </c>
      <c r="G16" s="121" t="str">
        <f>FormSampel!B15</f>
        <v>HC 15161426 - 2</v>
      </c>
      <c r="H16" s="121"/>
      <c r="I16" s="117">
        <f>FormSampel!C15</f>
        <v>45716</v>
      </c>
      <c r="J16" s="118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1" t="str">
        <f>FormSampel!B16</f>
        <v>HC 14813176 - 2</v>
      </c>
      <c r="H17" s="121"/>
      <c r="I17" s="117">
        <f>FormSampel!C16</f>
        <v>45688</v>
      </c>
      <c r="J17" s="11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4" t="str">
        <f>FormSampel!B17</f>
        <v>HC 28942277 - 2</v>
      </c>
      <c r="H18" s="154"/>
      <c r="I18" s="149">
        <f>FormSampel!C17</f>
        <v>46142</v>
      </c>
      <c r="J18" s="150"/>
    </row>
    <row r="19" spans="1:26" x14ac:dyDescent="0.25">
      <c r="A19" s="151" t="s">
        <v>48</v>
      </c>
      <c r="B19" s="152"/>
      <c r="C19" s="152"/>
      <c r="D19" s="152"/>
      <c r="E19" s="152"/>
      <c r="F19" s="152"/>
      <c r="G19" s="152"/>
      <c r="H19" s="152"/>
      <c r="I19" s="152"/>
      <c r="J19" s="153"/>
    </row>
    <row r="20" spans="1:26" ht="26.25" customHeight="1" x14ac:dyDescent="0.25">
      <c r="A20" s="141" t="s">
        <v>49</v>
      </c>
      <c r="B20" s="137"/>
      <c r="C20" s="29">
        <f>FormSampel!G12</f>
        <v>0</v>
      </c>
      <c r="D20" s="30" t="s">
        <v>50</v>
      </c>
      <c r="E20" s="31">
        <v>1000</v>
      </c>
      <c r="F20" s="136" t="s">
        <v>51</v>
      </c>
      <c r="G20" s="137"/>
      <c r="H20" s="138" t="str">
        <f>IF(AND(C21&lt;0.15),"&lt;0.15",C21)</f>
        <v>&lt;0.15</v>
      </c>
      <c r="I20" s="139"/>
      <c r="J20" s="32" t="s">
        <v>52</v>
      </c>
    </row>
    <row r="21" spans="1:26" ht="15.75" customHeight="1" x14ac:dyDescent="0.25">
      <c r="A21" s="33" t="s">
        <v>53</v>
      </c>
      <c r="B21" s="34"/>
      <c r="C21" s="106">
        <f>C20/1000</f>
        <v>0</v>
      </c>
      <c r="D21" s="107"/>
      <c r="E21" s="35"/>
      <c r="F21" s="34"/>
      <c r="G21" s="34"/>
      <c r="H21" s="34"/>
      <c r="I21" s="34"/>
      <c r="J21" s="32"/>
    </row>
    <row r="22" spans="1:26" ht="15.75" customHeight="1" x14ac:dyDescent="0.25">
      <c r="A22" s="142" t="s">
        <v>56</v>
      </c>
      <c r="B22" s="143"/>
      <c r="C22" s="143"/>
      <c r="D22" s="143"/>
      <c r="E22" s="143"/>
      <c r="F22" s="143"/>
      <c r="G22" s="143"/>
      <c r="H22" s="143"/>
      <c r="I22" s="143"/>
      <c r="J22" s="14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1" t="s">
        <v>49</v>
      </c>
      <c r="B23" s="137"/>
      <c r="C23" s="29">
        <f>FormSampel!H12</f>
        <v>0</v>
      </c>
      <c r="D23" s="30" t="s">
        <v>50</v>
      </c>
      <c r="E23" s="36">
        <v>1000</v>
      </c>
      <c r="F23" s="136" t="s">
        <v>51</v>
      </c>
      <c r="G23" s="137"/>
      <c r="H23" s="138" t="str">
        <f>IF(C24&lt;0.15,"&lt;0.15",C24)</f>
        <v>&lt;0.15</v>
      </c>
      <c r="I23" s="139"/>
      <c r="J23" s="32" t="s">
        <v>52</v>
      </c>
    </row>
    <row r="24" spans="1:26" ht="15.75" customHeight="1" x14ac:dyDescent="0.25">
      <c r="A24" s="33" t="s">
        <v>53</v>
      </c>
      <c r="B24" s="34"/>
      <c r="C24" s="106">
        <f>C23/1000</f>
        <v>0</v>
      </c>
      <c r="D24" s="107"/>
      <c r="E24" s="35"/>
      <c r="F24" s="34"/>
      <c r="G24" s="34"/>
      <c r="H24" s="34"/>
      <c r="I24" s="34"/>
      <c r="J24" s="32"/>
    </row>
    <row r="25" spans="1:26" ht="15.75" customHeight="1" x14ac:dyDescent="0.25">
      <c r="A25" s="142" t="s">
        <v>54</v>
      </c>
      <c r="B25" s="143"/>
      <c r="C25" s="143"/>
      <c r="D25" s="143"/>
      <c r="E25" s="143"/>
      <c r="F25" s="143"/>
      <c r="G25" s="143"/>
      <c r="H25" s="143"/>
      <c r="I25" s="143"/>
      <c r="J25" s="14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0" t="s">
        <v>49</v>
      </c>
      <c r="B26" s="110"/>
      <c r="C26" s="29">
        <f>FormSampel!I12</f>
        <v>0</v>
      </c>
      <c r="D26" s="30" t="s">
        <v>50</v>
      </c>
      <c r="E26" s="36">
        <v>1000</v>
      </c>
      <c r="F26" s="145" t="s">
        <v>51</v>
      </c>
      <c r="G26" s="137"/>
      <c r="H26" s="138" t="str">
        <f>IF(AND(C27&lt;0.15),"&lt;0.15",C27)</f>
        <v>&lt;0.15</v>
      </c>
      <c r="I26" s="139"/>
      <c r="J26" s="37" t="s">
        <v>52</v>
      </c>
    </row>
    <row r="27" spans="1:26" ht="15.75" customHeight="1" x14ac:dyDescent="0.25">
      <c r="A27" s="33" t="s">
        <v>53</v>
      </c>
      <c r="B27" s="34"/>
      <c r="C27" s="146">
        <f>C26/1000</f>
        <v>0</v>
      </c>
      <c r="D27" s="147"/>
      <c r="E27" s="35"/>
      <c r="F27" s="34"/>
      <c r="G27" s="34"/>
      <c r="H27" s="34"/>
      <c r="I27" s="34"/>
      <c r="J27" s="32"/>
    </row>
    <row r="28" spans="1:26" ht="15.75" customHeight="1" x14ac:dyDescent="0.25">
      <c r="A28" s="142" t="s">
        <v>55</v>
      </c>
      <c r="B28" s="143"/>
      <c r="C28" s="143"/>
      <c r="D28" s="143"/>
      <c r="E28" s="143"/>
      <c r="F28" s="143"/>
      <c r="G28" s="143"/>
      <c r="H28" s="143"/>
      <c r="I28" s="143"/>
      <c r="J28" s="14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0" t="s">
        <v>49</v>
      </c>
      <c r="B29" s="110"/>
      <c r="C29" s="29">
        <f>FormSampel!J12</f>
        <v>0</v>
      </c>
      <c r="D29" s="30" t="s">
        <v>50</v>
      </c>
      <c r="E29" s="36">
        <v>1000</v>
      </c>
      <c r="F29" s="148" t="s">
        <v>51</v>
      </c>
      <c r="G29" s="110"/>
      <c r="H29" s="138" t="str">
        <f>IF(AND(C30&lt;0.15),"&lt;0.15",C30)</f>
        <v>&lt;0.15</v>
      </c>
      <c r="I29" s="139"/>
      <c r="J29" s="32" t="s">
        <v>52</v>
      </c>
    </row>
    <row r="30" spans="1:26" ht="15.75" customHeight="1" x14ac:dyDescent="0.25">
      <c r="A30" s="33" t="s">
        <v>53</v>
      </c>
      <c r="B30" s="34"/>
      <c r="C30" s="106">
        <f>C29/1000</f>
        <v>0</v>
      </c>
      <c r="D30" s="107"/>
      <c r="E30" s="35"/>
      <c r="F30" s="34"/>
      <c r="G30" s="34"/>
      <c r="H30" s="34"/>
      <c r="I30" s="34"/>
      <c r="J30" s="32"/>
    </row>
    <row r="31" spans="1:26" ht="15.75" customHeight="1" x14ac:dyDescent="0.25">
      <c r="A31" s="108" t="s">
        <v>57</v>
      </c>
      <c r="B31" s="10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9" t="s">
        <v>59</v>
      </c>
      <c r="C32" s="110"/>
      <c r="D32" s="110"/>
      <c r="E32" s="111"/>
      <c r="F32" s="1"/>
      <c r="G32" s="1"/>
      <c r="H32" s="1"/>
      <c r="I32" s="1"/>
      <c r="J32" s="16"/>
    </row>
    <row r="33" spans="1:26" ht="15.75" customHeight="1" x14ac:dyDescent="0.25">
      <c r="A33" s="20"/>
      <c r="B33" s="110"/>
      <c r="C33" s="110"/>
      <c r="D33" s="110"/>
      <c r="E33" s="111"/>
      <c r="F33" s="21"/>
      <c r="G33" s="1"/>
      <c r="H33" s="1"/>
      <c r="I33" s="1"/>
      <c r="J33" s="16"/>
    </row>
    <row r="34" spans="1:26" ht="15.75" customHeight="1" x14ac:dyDescent="0.25">
      <c r="A34" s="22"/>
      <c r="B34" s="109" t="s">
        <v>60</v>
      </c>
      <c r="C34" s="110"/>
      <c r="D34" s="110"/>
      <c r="E34" s="111"/>
      <c r="F34" s="1"/>
      <c r="G34" s="1"/>
      <c r="H34" s="1"/>
      <c r="I34" s="1"/>
      <c r="J34" s="16"/>
    </row>
    <row r="35" spans="1:26" ht="15.75" customHeight="1" x14ac:dyDescent="0.25">
      <c r="A35" s="22"/>
      <c r="B35" s="110"/>
      <c r="C35" s="110"/>
      <c r="D35" s="110"/>
      <c r="E35" s="11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2" t="s">
        <v>61</v>
      </c>
      <c r="B38" s="103"/>
      <c r="C38" s="103"/>
      <c r="D38" s="103"/>
      <c r="E38" s="113"/>
      <c r="F38" s="94" t="str">
        <f>FormSampel!B19</f>
        <v>PERMIT/AMIR/MAISARAH</v>
      </c>
      <c r="G38" s="95"/>
      <c r="H38" s="98">
        <f>FormSampel!B20</f>
        <v>45546</v>
      </c>
      <c r="I38" s="98"/>
      <c r="J38" s="99"/>
    </row>
    <row r="39" spans="1:26" ht="11.25" customHeight="1" x14ac:dyDescent="0.25">
      <c r="A39" s="104"/>
      <c r="B39" s="105"/>
      <c r="C39" s="105"/>
      <c r="D39" s="105"/>
      <c r="E39" s="114"/>
      <c r="F39" s="96"/>
      <c r="G39" s="97"/>
      <c r="H39" s="100"/>
      <c r="I39" s="100"/>
      <c r="J39" s="101"/>
    </row>
    <row r="40" spans="1:26" ht="15.75" customHeight="1" x14ac:dyDescent="0.25">
      <c r="A40" s="102" t="s">
        <v>62</v>
      </c>
      <c r="B40" s="103"/>
      <c r="C40" s="103"/>
      <c r="D40" s="103"/>
      <c r="E40" s="103"/>
      <c r="F40" s="27"/>
      <c r="G40" s="23"/>
      <c r="H40" s="23"/>
      <c r="I40" s="23"/>
      <c r="J40" s="16"/>
    </row>
    <row r="41" spans="1:26" ht="11.25" customHeight="1" x14ac:dyDescent="0.25">
      <c r="A41" s="104"/>
      <c r="B41" s="105"/>
      <c r="C41" s="105"/>
      <c r="D41" s="105"/>
      <c r="E41" s="10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58967-CA84-4A06-B720-1CD0FBBE3DF1}">
  <sheetPr codeName="Sheet10"/>
  <dimension ref="A1:Z579"/>
  <sheetViews>
    <sheetView view="pageLayout" topLeftCell="A19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8" t="s">
        <v>0</v>
      </c>
      <c r="B1" s="129"/>
      <c r="C1" s="129"/>
      <c r="D1" s="129"/>
      <c r="E1" s="129"/>
      <c r="F1" s="129"/>
      <c r="G1" s="129"/>
      <c r="H1" s="129"/>
      <c r="I1" s="129"/>
      <c r="J1" s="130"/>
    </row>
    <row r="2" spans="1:26" x14ac:dyDescent="0.25">
      <c r="A2" s="128" t="s">
        <v>1</v>
      </c>
      <c r="B2" s="129"/>
      <c r="C2" s="129"/>
      <c r="D2" s="129"/>
      <c r="E2" s="129"/>
      <c r="F2" s="129"/>
      <c r="G2" s="129"/>
      <c r="H2" s="129"/>
      <c r="I2" s="129"/>
      <c r="J2" s="130"/>
    </row>
    <row r="3" spans="1:26" x14ac:dyDescent="0.25">
      <c r="A3" s="131" t="s">
        <v>2</v>
      </c>
      <c r="B3" s="129"/>
      <c r="C3" s="130"/>
      <c r="D3" s="132">
        <f>FormSampel!F13</f>
        <v>0</v>
      </c>
      <c r="E3" s="129"/>
      <c r="F3" s="129"/>
      <c r="G3" s="129"/>
      <c r="H3" s="129"/>
      <c r="I3" s="129"/>
      <c r="J3" s="130"/>
    </row>
    <row r="4" spans="1:26" x14ac:dyDescent="0.25">
      <c r="A4" s="131" t="s">
        <v>3</v>
      </c>
      <c r="B4" s="129"/>
      <c r="C4" s="130"/>
      <c r="D4" s="132">
        <f>FormSampel!B2</f>
        <v>110924</v>
      </c>
      <c r="E4" s="129"/>
      <c r="F4" s="129"/>
      <c r="G4" s="129"/>
      <c r="H4" s="129"/>
      <c r="I4" s="129"/>
      <c r="J4" s="130"/>
    </row>
    <row r="5" spans="1:26" ht="15" customHeight="1" x14ac:dyDescent="0.25">
      <c r="A5" s="133" t="s">
        <v>4</v>
      </c>
      <c r="B5" s="129"/>
      <c r="C5" s="129"/>
      <c r="D5" s="129"/>
      <c r="E5" s="129"/>
      <c r="F5" s="129"/>
      <c r="G5" s="129"/>
      <c r="H5" s="129"/>
      <c r="I5" s="129"/>
      <c r="J5" s="13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3" t="s">
        <v>5</v>
      </c>
      <c r="B6" s="129"/>
      <c r="C6" s="129"/>
      <c r="D6" s="129"/>
      <c r="E6" s="129"/>
      <c r="F6" s="129"/>
      <c r="G6" s="129"/>
      <c r="H6" s="129"/>
      <c r="I6" s="129"/>
      <c r="J6" s="130"/>
    </row>
    <row r="7" spans="1:26" ht="30" customHeight="1" x14ac:dyDescent="0.25">
      <c r="A7" s="134" t="s">
        <v>6</v>
      </c>
      <c r="B7" s="103"/>
      <c r="C7" s="135" t="s">
        <v>7</v>
      </c>
      <c r="D7" s="103"/>
      <c r="E7" s="103"/>
      <c r="F7" s="42" t="s">
        <v>8</v>
      </c>
      <c r="G7" s="126" t="s">
        <v>9</v>
      </c>
      <c r="H7" s="103"/>
      <c r="I7" s="103"/>
      <c r="J7" s="113"/>
    </row>
    <row r="8" spans="1:26" ht="15" customHeight="1" x14ac:dyDescent="0.25">
      <c r="A8" s="115" t="s">
        <v>10</v>
      </c>
      <c r="B8" s="110"/>
      <c r="C8" s="116" t="s">
        <v>11</v>
      </c>
      <c r="D8" s="110"/>
      <c r="E8" s="4"/>
      <c r="F8" s="38" t="s">
        <v>12</v>
      </c>
      <c r="G8" s="6" t="s">
        <v>13</v>
      </c>
      <c r="H8" s="6" t="s">
        <v>14</v>
      </c>
      <c r="I8" s="127"/>
      <c r="J8" s="111"/>
    </row>
    <row r="9" spans="1:26" ht="30" customHeight="1" x14ac:dyDescent="0.25">
      <c r="A9" s="123" t="s">
        <v>15</v>
      </c>
      <c r="B9" s="110"/>
      <c r="C9" s="116" t="s">
        <v>16</v>
      </c>
      <c r="D9" s="110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5" t="s">
        <v>20</v>
      </c>
      <c r="B10" s="110"/>
      <c r="C10" s="116" t="s">
        <v>21</v>
      </c>
      <c r="D10" s="110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3" t="s">
        <v>25</v>
      </c>
      <c r="B11" s="110"/>
      <c r="C11" s="124" t="s">
        <v>26</v>
      </c>
      <c r="D11" s="110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5" t="s">
        <v>30</v>
      </c>
      <c r="B12" s="110"/>
      <c r="C12" s="116" t="s">
        <v>31</v>
      </c>
      <c r="D12" s="110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5" t="s">
        <v>35</v>
      </c>
      <c r="B13" s="110"/>
      <c r="C13" s="116" t="s">
        <v>36</v>
      </c>
      <c r="D13" s="110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5" t="s">
        <v>40</v>
      </c>
      <c r="B14" s="110"/>
      <c r="C14" s="116" t="s">
        <v>41</v>
      </c>
      <c r="D14" s="110"/>
      <c r="E14" s="7"/>
      <c r="F14" s="125" t="s">
        <v>42</v>
      </c>
      <c r="G14" s="110"/>
      <c r="H14" s="110"/>
      <c r="I14" s="122" t="s">
        <v>43</v>
      </c>
      <c r="J14" s="111"/>
    </row>
    <row r="15" spans="1:26" ht="15" customHeight="1" x14ac:dyDescent="0.25">
      <c r="A15" s="115" t="s">
        <v>44</v>
      </c>
      <c r="B15" s="110"/>
      <c r="C15" s="116" t="s">
        <v>45</v>
      </c>
      <c r="D15" s="110"/>
      <c r="E15" s="7"/>
      <c r="F15" s="43" t="s">
        <v>74</v>
      </c>
      <c r="G15" s="120" t="str">
        <f>FormSampel!B14</f>
        <v>HC 16350373 - 2</v>
      </c>
      <c r="H15" s="120"/>
      <c r="I15" s="117">
        <f>FormSampel!C14</f>
        <v>45808</v>
      </c>
      <c r="J15" s="118"/>
    </row>
    <row r="16" spans="1:26" ht="15" customHeight="1" x14ac:dyDescent="0.25">
      <c r="A16" s="115" t="s">
        <v>46</v>
      </c>
      <c r="B16" s="110"/>
      <c r="C16" s="119" t="s">
        <v>47</v>
      </c>
      <c r="D16" s="110"/>
      <c r="E16" s="110"/>
      <c r="F16" s="44" t="s">
        <v>75</v>
      </c>
      <c r="G16" s="121" t="str">
        <f>FormSampel!B15</f>
        <v>HC 15161426 - 2</v>
      </c>
      <c r="H16" s="121"/>
      <c r="I16" s="117">
        <f>FormSampel!C15</f>
        <v>45716</v>
      </c>
      <c r="J16" s="118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1" t="str">
        <f>FormSampel!B16</f>
        <v>HC 14813176 - 2</v>
      </c>
      <c r="H17" s="121"/>
      <c r="I17" s="117">
        <f>FormSampel!C16</f>
        <v>45688</v>
      </c>
      <c r="J17" s="11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4" t="str">
        <f>FormSampel!B17</f>
        <v>HC 28942277 - 2</v>
      </c>
      <c r="H18" s="154"/>
      <c r="I18" s="149">
        <f>FormSampel!C17</f>
        <v>46142</v>
      </c>
      <c r="J18" s="150"/>
    </row>
    <row r="19" spans="1:26" x14ac:dyDescent="0.25">
      <c r="A19" s="151" t="s">
        <v>48</v>
      </c>
      <c r="B19" s="152"/>
      <c r="C19" s="152"/>
      <c r="D19" s="152"/>
      <c r="E19" s="152"/>
      <c r="F19" s="152"/>
      <c r="G19" s="152"/>
      <c r="H19" s="152"/>
      <c r="I19" s="152"/>
      <c r="J19" s="153"/>
    </row>
    <row r="20" spans="1:26" ht="26.25" customHeight="1" x14ac:dyDescent="0.25">
      <c r="A20" s="141" t="s">
        <v>49</v>
      </c>
      <c r="B20" s="137"/>
      <c r="C20" s="29">
        <f>FormSampel!G13</f>
        <v>0</v>
      </c>
      <c r="D20" s="30" t="s">
        <v>50</v>
      </c>
      <c r="E20" s="31">
        <v>1000</v>
      </c>
      <c r="F20" s="136" t="s">
        <v>51</v>
      </c>
      <c r="G20" s="137"/>
      <c r="H20" s="138" t="str">
        <f>IF(AND(C21&lt;0.15),"&lt;0.15",C21)</f>
        <v>&lt;0.15</v>
      </c>
      <c r="I20" s="139"/>
      <c r="J20" s="32" t="s">
        <v>52</v>
      </c>
    </row>
    <row r="21" spans="1:26" ht="15.75" customHeight="1" x14ac:dyDescent="0.25">
      <c r="A21" s="33" t="s">
        <v>53</v>
      </c>
      <c r="B21" s="34"/>
      <c r="C21" s="106">
        <f>C20/1000</f>
        <v>0</v>
      </c>
      <c r="D21" s="107"/>
      <c r="E21" s="35"/>
      <c r="F21" s="34"/>
      <c r="G21" s="34"/>
      <c r="H21" s="34"/>
      <c r="I21" s="34"/>
      <c r="J21" s="32"/>
    </row>
    <row r="22" spans="1:26" ht="15.75" customHeight="1" x14ac:dyDescent="0.25">
      <c r="A22" s="142" t="s">
        <v>56</v>
      </c>
      <c r="B22" s="143"/>
      <c r="C22" s="143"/>
      <c r="D22" s="143"/>
      <c r="E22" s="143"/>
      <c r="F22" s="143"/>
      <c r="G22" s="143"/>
      <c r="H22" s="143"/>
      <c r="I22" s="143"/>
      <c r="J22" s="14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1" t="s">
        <v>49</v>
      </c>
      <c r="B23" s="137"/>
      <c r="C23" s="29">
        <f>FormSampel!H13</f>
        <v>0</v>
      </c>
      <c r="D23" s="30" t="s">
        <v>50</v>
      </c>
      <c r="E23" s="36">
        <v>1000</v>
      </c>
      <c r="F23" s="136" t="s">
        <v>51</v>
      </c>
      <c r="G23" s="137"/>
      <c r="H23" s="138" t="str">
        <f>IF(C24&lt;0.15,"&lt;0.15",C24)</f>
        <v>&lt;0.15</v>
      </c>
      <c r="I23" s="139"/>
      <c r="J23" s="32" t="s">
        <v>52</v>
      </c>
    </row>
    <row r="24" spans="1:26" ht="15.75" customHeight="1" x14ac:dyDescent="0.25">
      <c r="A24" s="33" t="s">
        <v>53</v>
      </c>
      <c r="B24" s="34"/>
      <c r="C24" s="106">
        <f>C23/1000</f>
        <v>0</v>
      </c>
      <c r="D24" s="107"/>
      <c r="E24" s="35"/>
      <c r="F24" s="34"/>
      <c r="G24" s="34"/>
      <c r="H24" s="34"/>
      <c r="I24" s="34"/>
      <c r="J24" s="32"/>
    </row>
    <row r="25" spans="1:26" ht="15.75" customHeight="1" x14ac:dyDescent="0.25">
      <c r="A25" s="142" t="s">
        <v>54</v>
      </c>
      <c r="B25" s="143"/>
      <c r="C25" s="143"/>
      <c r="D25" s="143"/>
      <c r="E25" s="143"/>
      <c r="F25" s="143"/>
      <c r="G25" s="143"/>
      <c r="H25" s="143"/>
      <c r="I25" s="143"/>
      <c r="J25" s="14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0" t="s">
        <v>49</v>
      </c>
      <c r="B26" s="110"/>
      <c r="C26" s="29">
        <f>FormSampel!I13</f>
        <v>0</v>
      </c>
      <c r="D26" s="30" t="s">
        <v>50</v>
      </c>
      <c r="E26" s="36">
        <v>1000</v>
      </c>
      <c r="F26" s="145" t="s">
        <v>51</v>
      </c>
      <c r="G26" s="137"/>
      <c r="H26" s="138" t="str">
        <f>IF(AND(C27&lt;0.15),"&lt;0.15",C27)</f>
        <v>&lt;0.15</v>
      </c>
      <c r="I26" s="139"/>
      <c r="J26" s="37" t="s">
        <v>52</v>
      </c>
    </row>
    <row r="27" spans="1:26" ht="15.75" customHeight="1" x14ac:dyDescent="0.25">
      <c r="A27" s="33" t="s">
        <v>53</v>
      </c>
      <c r="B27" s="34"/>
      <c r="C27" s="146">
        <f>C26/1000</f>
        <v>0</v>
      </c>
      <c r="D27" s="147"/>
      <c r="E27" s="35"/>
      <c r="F27" s="34"/>
      <c r="G27" s="34"/>
      <c r="H27" s="34"/>
      <c r="I27" s="34"/>
      <c r="J27" s="32"/>
    </row>
    <row r="28" spans="1:26" ht="15.75" customHeight="1" x14ac:dyDescent="0.25">
      <c r="A28" s="142" t="s">
        <v>55</v>
      </c>
      <c r="B28" s="143"/>
      <c r="C28" s="143"/>
      <c r="D28" s="143"/>
      <c r="E28" s="143"/>
      <c r="F28" s="143"/>
      <c r="G28" s="143"/>
      <c r="H28" s="143"/>
      <c r="I28" s="143"/>
      <c r="J28" s="14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0" t="s">
        <v>49</v>
      </c>
      <c r="B29" s="110"/>
      <c r="C29" s="29">
        <f>FormSampel!J13</f>
        <v>0</v>
      </c>
      <c r="D29" s="30" t="s">
        <v>50</v>
      </c>
      <c r="E29" s="36">
        <v>1000</v>
      </c>
      <c r="F29" s="148" t="s">
        <v>51</v>
      </c>
      <c r="G29" s="110"/>
      <c r="H29" s="138" t="str">
        <f>IF(AND(C30&lt;0.15),"&lt;0.15",C30)</f>
        <v>&lt;0.15</v>
      </c>
      <c r="I29" s="139"/>
      <c r="J29" s="32" t="s">
        <v>52</v>
      </c>
    </row>
    <row r="30" spans="1:26" ht="15.75" customHeight="1" x14ac:dyDescent="0.25">
      <c r="A30" s="33" t="s">
        <v>53</v>
      </c>
      <c r="B30" s="34"/>
      <c r="C30" s="106">
        <f>C29/1000</f>
        <v>0</v>
      </c>
      <c r="D30" s="107"/>
      <c r="E30" s="35"/>
      <c r="F30" s="34"/>
      <c r="G30" s="34"/>
      <c r="H30" s="34"/>
      <c r="I30" s="34"/>
      <c r="J30" s="32"/>
    </row>
    <row r="31" spans="1:26" ht="15.75" customHeight="1" x14ac:dyDescent="0.25">
      <c r="A31" s="108" t="s">
        <v>57</v>
      </c>
      <c r="B31" s="10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9" t="s">
        <v>59</v>
      </c>
      <c r="C32" s="110"/>
      <c r="D32" s="110"/>
      <c r="E32" s="111"/>
      <c r="F32" s="1"/>
      <c r="G32" s="1"/>
      <c r="H32" s="1"/>
      <c r="I32" s="1"/>
      <c r="J32" s="16"/>
    </row>
    <row r="33" spans="1:26" ht="15.75" customHeight="1" x14ac:dyDescent="0.25">
      <c r="A33" s="20"/>
      <c r="B33" s="110"/>
      <c r="C33" s="110"/>
      <c r="D33" s="110"/>
      <c r="E33" s="111"/>
      <c r="F33" s="21"/>
      <c r="G33" s="1"/>
      <c r="H33" s="1"/>
      <c r="I33" s="1"/>
      <c r="J33" s="16"/>
    </row>
    <row r="34" spans="1:26" ht="15.75" customHeight="1" x14ac:dyDescent="0.25">
      <c r="A34" s="22"/>
      <c r="B34" s="109" t="s">
        <v>60</v>
      </c>
      <c r="C34" s="110"/>
      <c r="D34" s="110"/>
      <c r="E34" s="111"/>
      <c r="F34" s="1"/>
      <c r="G34" s="1"/>
      <c r="H34" s="1"/>
      <c r="I34" s="1"/>
      <c r="J34" s="16"/>
    </row>
    <row r="35" spans="1:26" ht="15.75" customHeight="1" x14ac:dyDescent="0.25">
      <c r="A35" s="22"/>
      <c r="B35" s="110"/>
      <c r="C35" s="110"/>
      <c r="D35" s="110"/>
      <c r="E35" s="11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2" t="s">
        <v>61</v>
      </c>
      <c r="B38" s="103"/>
      <c r="C38" s="103"/>
      <c r="D38" s="103"/>
      <c r="E38" s="113"/>
      <c r="F38" s="94" t="str">
        <f>FormSampel!B19</f>
        <v>PERMIT/AMIR/MAISARAH</v>
      </c>
      <c r="G38" s="95"/>
      <c r="H38" s="98">
        <f>FormSampel!B20</f>
        <v>45546</v>
      </c>
      <c r="I38" s="98"/>
      <c r="J38" s="99"/>
    </row>
    <row r="39" spans="1:26" ht="11.25" customHeight="1" x14ac:dyDescent="0.25">
      <c r="A39" s="104"/>
      <c r="B39" s="105"/>
      <c r="C39" s="105"/>
      <c r="D39" s="105"/>
      <c r="E39" s="114"/>
      <c r="F39" s="96"/>
      <c r="G39" s="97"/>
      <c r="H39" s="100"/>
      <c r="I39" s="100"/>
      <c r="J39" s="101"/>
    </row>
    <row r="40" spans="1:26" ht="15.75" customHeight="1" x14ac:dyDescent="0.25">
      <c r="A40" s="102" t="s">
        <v>62</v>
      </c>
      <c r="B40" s="103"/>
      <c r="C40" s="103"/>
      <c r="D40" s="103"/>
      <c r="E40" s="103"/>
      <c r="F40" s="27"/>
      <c r="G40" s="23"/>
      <c r="H40" s="23"/>
      <c r="I40" s="23"/>
      <c r="J40" s="16"/>
    </row>
    <row r="41" spans="1:26" ht="11.25" customHeight="1" x14ac:dyDescent="0.25">
      <c r="A41" s="104"/>
      <c r="B41" s="105"/>
      <c r="C41" s="105"/>
      <c r="D41" s="105"/>
      <c r="E41" s="10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48611-4006-4C4F-8C13-7700C0011649}">
  <sheetPr codeName="Sheet11"/>
  <dimension ref="A1:Z579"/>
  <sheetViews>
    <sheetView view="pageLayout" topLeftCell="A19" zoomScale="112" zoomScaleNormal="100" zoomScalePageLayoutView="112" workbookViewId="0">
      <selection activeCell="C20" sqref="C2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8" t="s">
        <v>0</v>
      </c>
      <c r="B1" s="129"/>
      <c r="C1" s="129"/>
      <c r="D1" s="129"/>
      <c r="E1" s="129"/>
      <c r="F1" s="129"/>
      <c r="G1" s="129"/>
      <c r="H1" s="129"/>
      <c r="I1" s="129"/>
      <c r="J1" s="130"/>
    </row>
    <row r="2" spans="1:26" x14ac:dyDescent="0.25">
      <c r="A2" s="128" t="s">
        <v>1</v>
      </c>
      <c r="B2" s="129"/>
      <c r="C2" s="129"/>
      <c r="D2" s="129"/>
      <c r="E2" s="129"/>
      <c r="F2" s="129"/>
      <c r="G2" s="129"/>
      <c r="H2" s="129"/>
      <c r="I2" s="129"/>
      <c r="J2" s="130"/>
    </row>
    <row r="3" spans="1:26" x14ac:dyDescent="0.25">
      <c r="A3" s="131" t="s">
        <v>2</v>
      </c>
      <c r="B3" s="129"/>
      <c r="C3" s="130"/>
      <c r="D3" s="132">
        <f>FormSampel!F14</f>
        <v>0</v>
      </c>
      <c r="E3" s="129"/>
      <c r="F3" s="129"/>
      <c r="G3" s="129"/>
      <c r="H3" s="129"/>
      <c r="I3" s="129"/>
      <c r="J3" s="130"/>
    </row>
    <row r="4" spans="1:26" x14ac:dyDescent="0.25">
      <c r="A4" s="131" t="s">
        <v>3</v>
      </c>
      <c r="B4" s="129"/>
      <c r="C4" s="130"/>
      <c r="D4" s="132">
        <f>FormSampel!B2</f>
        <v>110924</v>
      </c>
      <c r="E4" s="129"/>
      <c r="F4" s="129"/>
      <c r="G4" s="129"/>
      <c r="H4" s="129"/>
      <c r="I4" s="129"/>
      <c r="J4" s="130"/>
    </row>
    <row r="5" spans="1:26" ht="15" customHeight="1" x14ac:dyDescent="0.25">
      <c r="A5" s="133" t="s">
        <v>4</v>
      </c>
      <c r="B5" s="129"/>
      <c r="C5" s="129"/>
      <c r="D5" s="129"/>
      <c r="E5" s="129"/>
      <c r="F5" s="129"/>
      <c r="G5" s="129"/>
      <c r="H5" s="129"/>
      <c r="I5" s="129"/>
      <c r="J5" s="13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3" t="s">
        <v>5</v>
      </c>
      <c r="B6" s="129"/>
      <c r="C6" s="129"/>
      <c r="D6" s="129"/>
      <c r="E6" s="129"/>
      <c r="F6" s="129"/>
      <c r="G6" s="129"/>
      <c r="H6" s="129"/>
      <c r="I6" s="129"/>
      <c r="J6" s="130"/>
    </row>
    <row r="7" spans="1:26" ht="30" customHeight="1" x14ac:dyDescent="0.25">
      <c r="A7" s="134" t="s">
        <v>6</v>
      </c>
      <c r="B7" s="103"/>
      <c r="C7" s="135" t="s">
        <v>7</v>
      </c>
      <c r="D7" s="103"/>
      <c r="E7" s="103"/>
      <c r="F7" s="42" t="s">
        <v>8</v>
      </c>
      <c r="G7" s="126" t="s">
        <v>9</v>
      </c>
      <c r="H7" s="103"/>
      <c r="I7" s="103"/>
      <c r="J7" s="113"/>
    </row>
    <row r="8" spans="1:26" ht="15" customHeight="1" x14ac:dyDescent="0.25">
      <c r="A8" s="115" t="s">
        <v>10</v>
      </c>
      <c r="B8" s="110"/>
      <c r="C8" s="116" t="s">
        <v>11</v>
      </c>
      <c r="D8" s="110"/>
      <c r="E8" s="4"/>
      <c r="F8" s="38" t="s">
        <v>12</v>
      </c>
      <c r="G8" s="6" t="s">
        <v>13</v>
      </c>
      <c r="H8" s="6" t="s">
        <v>14</v>
      </c>
      <c r="I8" s="127"/>
      <c r="J8" s="111"/>
    </row>
    <row r="9" spans="1:26" ht="30" customHeight="1" x14ac:dyDescent="0.25">
      <c r="A9" s="123" t="s">
        <v>15</v>
      </c>
      <c r="B9" s="110"/>
      <c r="C9" s="116" t="s">
        <v>16</v>
      </c>
      <c r="D9" s="110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5" t="s">
        <v>20</v>
      </c>
      <c r="B10" s="110"/>
      <c r="C10" s="116" t="s">
        <v>21</v>
      </c>
      <c r="D10" s="110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3" t="s">
        <v>25</v>
      </c>
      <c r="B11" s="110"/>
      <c r="C11" s="124" t="s">
        <v>26</v>
      </c>
      <c r="D11" s="110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5" t="s">
        <v>30</v>
      </c>
      <c r="B12" s="110"/>
      <c r="C12" s="116" t="s">
        <v>31</v>
      </c>
      <c r="D12" s="110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5" t="s">
        <v>35</v>
      </c>
      <c r="B13" s="110"/>
      <c r="C13" s="116" t="s">
        <v>36</v>
      </c>
      <c r="D13" s="110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5" t="s">
        <v>40</v>
      </c>
      <c r="B14" s="110"/>
      <c r="C14" s="116" t="s">
        <v>41</v>
      </c>
      <c r="D14" s="110"/>
      <c r="E14" s="7"/>
      <c r="F14" s="125" t="s">
        <v>42</v>
      </c>
      <c r="G14" s="110"/>
      <c r="H14" s="110"/>
      <c r="I14" s="122" t="s">
        <v>43</v>
      </c>
      <c r="J14" s="111"/>
    </row>
    <row r="15" spans="1:26" ht="15" customHeight="1" x14ac:dyDescent="0.25">
      <c r="A15" s="115" t="s">
        <v>44</v>
      </c>
      <c r="B15" s="110"/>
      <c r="C15" s="116" t="s">
        <v>45</v>
      </c>
      <c r="D15" s="110"/>
      <c r="E15" s="7"/>
      <c r="F15" s="43" t="s">
        <v>74</v>
      </c>
      <c r="G15" s="120" t="str">
        <f>FormSampel!B14</f>
        <v>HC 16350373 - 2</v>
      </c>
      <c r="H15" s="120"/>
      <c r="I15" s="117">
        <f>FormSampel!C14</f>
        <v>45808</v>
      </c>
      <c r="J15" s="118"/>
    </row>
    <row r="16" spans="1:26" ht="15" customHeight="1" x14ac:dyDescent="0.25">
      <c r="A16" s="115" t="s">
        <v>46</v>
      </c>
      <c r="B16" s="110"/>
      <c r="C16" s="119" t="s">
        <v>47</v>
      </c>
      <c r="D16" s="110"/>
      <c r="E16" s="110"/>
      <c r="F16" s="44" t="s">
        <v>75</v>
      </c>
      <c r="G16" s="121" t="str">
        <f>FormSampel!B15</f>
        <v>HC 15161426 - 2</v>
      </c>
      <c r="H16" s="121"/>
      <c r="I16" s="117">
        <f>FormSampel!C15</f>
        <v>45716</v>
      </c>
      <c r="J16" s="118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1" t="str">
        <f>FormSampel!B16</f>
        <v>HC 14813176 - 2</v>
      </c>
      <c r="H17" s="121"/>
      <c r="I17" s="117">
        <f>FormSampel!C16</f>
        <v>45688</v>
      </c>
      <c r="J17" s="11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4" t="str">
        <f>FormSampel!B17</f>
        <v>HC 28942277 - 2</v>
      </c>
      <c r="H18" s="154"/>
      <c r="I18" s="149">
        <f>FormSampel!C17</f>
        <v>46142</v>
      </c>
      <c r="J18" s="150"/>
    </row>
    <row r="19" spans="1:26" x14ac:dyDescent="0.25">
      <c r="A19" s="151" t="s">
        <v>48</v>
      </c>
      <c r="B19" s="152"/>
      <c r="C19" s="152"/>
      <c r="D19" s="152"/>
      <c r="E19" s="152"/>
      <c r="F19" s="152"/>
      <c r="G19" s="152"/>
      <c r="H19" s="152"/>
      <c r="I19" s="152"/>
      <c r="J19" s="153"/>
    </row>
    <row r="20" spans="1:26" ht="26.25" customHeight="1" x14ac:dyDescent="0.25">
      <c r="A20" s="141" t="s">
        <v>49</v>
      </c>
      <c r="B20" s="137"/>
      <c r="C20" s="29">
        <f>FormSampel!G14</f>
        <v>0</v>
      </c>
      <c r="D20" s="30" t="s">
        <v>50</v>
      </c>
      <c r="E20" s="31">
        <v>1000</v>
      </c>
      <c r="F20" s="136" t="s">
        <v>51</v>
      </c>
      <c r="G20" s="137"/>
      <c r="H20" s="138" t="str">
        <f>IF(AND(C21&lt;0.15),"&lt;0.15",C21)</f>
        <v>&lt;0.15</v>
      </c>
      <c r="I20" s="139"/>
      <c r="J20" s="32" t="s">
        <v>52</v>
      </c>
    </row>
    <row r="21" spans="1:26" ht="15.75" customHeight="1" x14ac:dyDescent="0.25">
      <c r="A21" s="33" t="s">
        <v>53</v>
      </c>
      <c r="B21" s="34"/>
      <c r="C21" s="106">
        <f>C20/1000</f>
        <v>0</v>
      </c>
      <c r="D21" s="107"/>
      <c r="E21" s="35"/>
      <c r="F21" s="34"/>
      <c r="G21" s="34"/>
      <c r="H21" s="34"/>
      <c r="I21" s="34"/>
      <c r="J21" s="32"/>
    </row>
    <row r="22" spans="1:26" ht="15.75" customHeight="1" x14ac:dyDescent="0.25">
      <c r="A22" s="142" t="s">
        <v>56</v>
      </c>
      <c r="B22" s="143"/>
      <c r="C22" s="143"/>
      <c r="D22" s="143"/>
      <c r="E22" s="143"/>
      <c r="F22" s="143"/>
      <c r="G22" s="143"/>
      <c r="H22" s="143"/>
      <c r="I22" s="143"/>
      <c r="J22" s="14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1" t="s">
        <v>49</v>
      </c>
      <c r="B23" s="137"/>
      <c r="C23" s="29">
        <f>FormSampel!H14</f>
        <v>0</v>
      </c>
      <c r="D23" s="30" t="s">
        <v>50</v>
      </c>
      <c r="E23" s="36">
        <v>1000</v>
      </c>
      <c r="F23" s="136" t="s">
        <v>51</v>
      </c>
      <c r="G23" s="137"/>
      <c r="H23" s="138" t="str">
        <f>IF(C24&lt;0.15,"&lt;0.15",C24)</f>
        <v>&lt;0.15</v>
      </c>
      <c r="I23" s="139"/>
      <c r="J23" s="32" t="s">
        <v>52</v>
      </c>
    </row>
    <row r="24" spans="1:26" ht="15.75" customHeight="1" x14ac:dyDescent="0.25">
      <c r="A24" s="33" t="s">
        <v>53</v>
      </c>
      <c r="B24" s="34"/>
      <c r="C24" s="106">
        <f>C23/1000</f>
        <v>0</v>
      </c>
      <c r="D24" s="107"/>
      <c r="E24" s="35"/>
      <c r="F24" s="34"/>
      <c r="G24" s="34"/>
      <c r="H24" s="34"/>
      <c r="I24" s="34"/>
      <c r="J24" s="32"/>
    </row>
    <row r="25" spans="1:26" ht="15.75" customHeight="1" x14ac:dyDescent="0.25">
      <c r="A25" s="142" t="s">
        <v>54</v>
      </c>
      <c r="B25" s="143"/>
      <c r="C25" s="143"/>
      <c r="D25" s="143"/>
      <c r="E25" s="143"/>
      <c r="F25" s="143"/>
      <c r="G25" s="143"/>
      <c r="H25" s="143"/>
      <c r="I25" s="143"/>
      <c r="J25" s="14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0" t="s">
        <v>49</v>
      </c>
      <c r="B26" s="110"/>
      <c r="C26" s="29">
        <f>FormSampel!I14</f>
        <v>0</v>
      </c>
      <c r="D26" s="30" t="s">
        <v>50</v>
      </c>
      <c r="E26" s="36">
        <v>1000</v>
      </c>
      <c r="F26" s="145" t="s">
        <v>51</v>
      </c>
      <c r="G26" s="137"/>
      <c r="H26" s="138" t="str">
        <f>IF(AND(C27&lt;0.15),"&lt;0.15",C27)</f>
        <v>&lt;0.15</v>
      </c>
      <c r="I26" s="139"/>
      <c r="J26" s="37" t="s">
        <v>52</v>
      </c>
    </row>
    <row r="27" spans="1:26" ht="15.75" customHeight="1" x14ac:dyDescent="0.25">
      <c r="A27" s="33" t="s">
        <v>53</v>
      </c>
      <c r="B27" s="34"/>
      <c r="C27" s="146">
        <f>C26/1000</f>
        <v>0</v>
      </c>
      <c r="D27" s="147"/>
      <c r="E27" s="35"/>
      <c r="F27" s="34"/>
      <c r="G27" s="34"/>
      <c r="H27" s="34"/>
      <c r="I27" s="34"/>
      <c r="J27" s="32"/>
    </row>
    <row r="28" spans="1:26" ht="15.75" customHeight="1" x14ac:dyDescent="0.25">
      <c r="A28" s="142" t="s">
        <v>55</v>
      </c>
      <c r="B28" s="143"/>
      <c r="C28" s="143"/>
      <c r="D28" s="143"/>
      <c r="E28" s="143"/>
      <c r="F28" s="143"/>
      <c r="G28" s="143"/>
      <c r="H28" s="143"/>
      <c r="I28" s="143"/>
      <c r="J28" s="14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0" t="s">
        <v>49</v>
      </c>
      <c r="B29" s="110"/>
      <c r="C29" s="29">
        <f>FormSampel!J14</f>
        <v>0</v>
      </c>
      <c r="D29" s="30" t="s">
        <v>50</v>
      </c>
      <c r="E29" s="36">
        <v>1000</v>
      </c>
      <c r="F29" s="148" t="s">
        <v>51</v>
      </c>
      <c r="G29" s="110"/>
      <c r="H29" s="138" t="str">
        <f>IF(AND(C30&lt;0.15),"&lt;0.15",C30)</f>
        <v>&lt;0.15</v>
      </c>
      <c r="I29" s="139"/>
      <c r="J29" s="32" t="s">
        <v>52</v>
      </c>
    </row>
    <row r="30" spans="1:26" ht="15.75" customHeight="1" x14ac:dyDescent="0.25">
      <c r="A30" s="33" t="s">
        <v>53</v>
      </c>
      <c r="B30" s="34"/>
      <c r="C30" s="106">
        <f>C29/1000</f>
        <v>0</v>
      </c>
      <c r="D30" s="107"/>
      <c r="E30" s="35"/>
      <c r="F30" s="34"/>
      <c r="G30" s="34"/>
      <c r="H30" s="34"/>
      <c r="I30" s="34"/>
      <c r="J30" s="32"/>
    </row>
    <row r="31" spans="1:26" ht="15.75" customHeight="1" x14ac:dyDescent="0.25">
      <c r="A31" s="108" t="s">
        <v>57</v>
      </c>
      <c r="B31" s="10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9" t="s">
        <v>59</v>
      </c>
      <c r="C32" s="110"/>
      <c r="D32" s="110"/>
      <c r="E32" s="111"/>
      <c r="F32" s="1"/>
      <c r="G32" s="1"/>
      <c r="H32" s="1"/>
      <c r="I32" s="1"/>
      <c r="J32" s="16"/>
    </row>
    <row r="33" spans="1:26" ht="15.75" customHeight="1" x14ac:dyDescent="0.25">
      <c r="A33" s="20"/>
      <c r="B33" s="110"/>
      <c r="C33" s="110"/>
      <c r="D33" s="110"/>
      <c r="E33" s="111"/>
      <c r="F33" s="21"/>
      <c r="G33" s="1"/>
      <c r="H33" s="1"/>
      <c r="I33" s="1"/>
      <c r="J33" s="16"/>
    </row>
    <row r="34" spans="1:26" ht="15.75" customHeight="1" x14ac:dyDescent="0.25">
      <c r="A34" s="22"/>
      <c r="B34" s="109" t="s">
        <v>60</v>
      </c>
      <c r="C34" s="110"/>
      <c r="D34" s="110"/>
      <c r="E34" s="111"/>
      <c r="F34" s="1"/>
      <c r="G34" s="1"/>
      <c r="H34" s="1"/>
      <c r="I34" s="1"/>
      <c r="J34" s="16"/>
    </row>
    <row r="35" spans="1:26" ht="15.75" customHeight="1" x14ac:dyDescent="0.25">
      <c r="A35" s="22"/>
      <c r="B35" s="110"/>
      <c r="C35" s="110"/>
      <c r="D35" s="110"/>
      <c r="E35" s="11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2" t="s">
        <v>61</v>
      </c>
      <c r="B38" s="103"/>
      <c r="C38" s="103"/>
      <c r="D38" s="103"/>
      <c r="E38" s="113"/>
      <c r="F38" s="94" t="str">
        <f>FormSampel!B19</f>
        <v>PERMIT/AMIR/MAISARAH</v>
      </c>
      <c r="G38" s="95"/>
      <c r="H38" s="98">
        <f>FormSampel!B20</f>
        <v>45546</v>
      </c>
      <c r="I38" s="98"/>
      <c r="J38" s="99"/>
    </row>
    <row r="39" spans="1:26" ht="11.25" customHeight="1" x14ac:dyDescent="0.25">
      <c r="A39" s="104"/>
      <c r="B39" s="105"/>
      <c r="C39" s="105"/>
      <c r="D39" s="105"/>
      <c r="E39" s="114"/>
      <c r="F39" s="96"/>
      <c r="G39" s="97"/>
      <c r="H39" s="100"/>
      <c r="I39" s="100"/>
      <c r="J39" s="101"/>
    </row>
    <row r="40" spans="1:26" ht="15.75" customHeight="1" x14ac:dyDescent="0.25">
      <c r="A40" s="102" t="s">
        <v>62</v>
      </c>
      <c r="B40" s="103"/>
      <c r="C40" s="103"/>
      <c r="D40" s="103"/>
      <c r="E40" s="103"/>
      <c r="F40" s="27"/>
      <c r="G40" s="23"/>
      <c r="H40" s="23"/>
      <c r="I40" s="23"/>
      <c r="J40" s="16"/>
    </row>
    <row r="41" spans="1:26" ht="11.25" customHeight="1" x14ac:dyDescent="0.25">
      <c r="A41" s="104"/>
      <c r="B41" s="105"/>
      <c r="C41" s="105"/>
      <c r="D41" s="105"/>
      <c r="E41" s="10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B0319-335B-4064-A4C9-D287C6465C61}">
  <sheetPr codeName="Sheet12"/>
  <dimension ref="A1:Z579"/>
  <sheetViews>
    <sheetView view="pageLayout" topLeftCell="A19" zoomScale="112" zoomScaleNormal="100" zoomScalePageLayoutView="112" workbookViewId="0">
      <selection activeCell="A19" sqref="A19:J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8" t="s">
        <v>0</v>
      </c>
      <c r="B1" s="129"/>
      <c r="C1" s="129"/>
      <c r="D1" s="129"/>
      <c r="E1" s="129"/>
      <c r="F1" s="129"/>
      <c r="G1" s="129"/>
      <c r="H1" s="129"/>
      <c r="I1" s="129"/>
      <c r="J1" s="130"/>
    </row>
    <row r="2" spans="1:26" x14ac:dyDescent="0.25">
      <c r="A2" s="128" t="s">
        <v>1</v>
      </c>
      <c r="B2" s="129"/>
      <c r="C2" s="129"/>
      <c r="D2" s="129"/>
      <c r="E2" s="129"/>
      <c r="F2" s="129"/>
      <c r="G2" s="129"/>
      <c r="H2" s="129"/>
      <c r="I2" s="129"/>
      <c r="J2" s="130"/>
    </row>
    <row r="3" spans="1:26" x14ac:dyDescent="0.25">
      <c r="A3" s="131" t="s">
        <v>2</v>
      </c>
      <c r="B3" s="129"/>
      <c r="C3" s="130"/>
      <c r="D3" s="132">
        <f>FormSampel!F15</f>
        <v>0</v>
      </c>
      <c r="E3" s="129"/>
      <c r="F3" s="129"/>
      <c r="G3" s="129"/>
      <c r="H3" s="129"/>
      <c r="I3" s="129"/>
      <c r="J3" s="130"/>
    </row>
    <row r="4" spans="1:26" x14ac:dyDescent="0.25">
      <c r="A4" s="131" t="s">
        <v>3</v>
      </c>
      <c r="B4" s="129"/>
      <c r="C4" s="130"/>
      <c r="D4" s="132">
        <f>FormSampel!B2</f>
        <v>110924</v>
      </c>
      <c r="E4" s="129"/>
      <c r="F4" s="129"/>
      <c r="G4" s="129"/>
      <c r="H4" s="129"/>
      <c r="I4" s="129"/>
      <c r="J4" s="130"/>
    </row>
    <row r="5" spans="1:26" ht="15" customHeight="1" x14ac:dyDescent="0.25">
      <c r="A5" s="133" t="s">
        <v>4</v>
      </c>
      <c r="B5" s="129"/>
      <c r="C5" s="129"/>
      <c r="D5" s="129"/>
      <c r="E5" s="129"/>
      <c r="F5" s="129"/>
      <c r="G5" s="129"/>
      <c r="H5" s="129"/>
      <c r="I5" s="129"/>
      <c r="J5" s="13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3" t="s">
        <v>5</v>
      </c>
      <c r="B6" s="129"/>
      <c r="C6" s="129"/>
      <c r="D6" s="129"/>
      <c r="E6" s="129"/>
      <c r="F6" s="129"/>
      <c r="G6" s="129"/>
      <c r="H6" s="129"/>
      <c r="I6" s="129"/>
      <c r="J6" s="130"/>
    </row>
    <row r="7" spans="1:26" ht="30" customHeight="1" x14ac:dyDescent="0.25">
      <c r="A7" s="134" t="s">
        <v>6</v>
      </c>
      <c r="B7" s="103"/>
      <c r="C7" s="135" t="s">
        <v>7</v>
      </c>
      <c r="D7" s="103"/>
      <c r="E7" s="103"/>
      <c r="F7" s="42" t="s">
        <v>8</v>
      </c>
      <c r="G7" s="126" t="s">
        <v>9</v>
      </c>
      <c r="H7" s="103"/>
      <c r="I7" s="103"/>
      <c r="J7" s="113"/>
    </row>
    <row r="8" spans="1:26" ht="15" customHeight="1" x14ac:dyDescent="0.25">
      <c r="A8" s="115" t="s">
        <v>10</v>
      </c>
      <c r="B8" s="110"/>
      <c r="C8" s="116" t="s">
        <v>11</v>
      </c>
      <c r="D8" s="110"/>
      <c r="E8" s="4"/>
      <c r="F8" s="38" t="s">
        <v>12</v>
      </c>
      <c r="G8" s="6" t="s">
        <v>13</v>
      </c>
      <c r="H8" s="6" t="s">
        <v>14</v>
      </c>
      <c r="I8" s="127"/>
      <c r="J8" s="111"/>
    </row>
    <row r="9" spans="1:26" ht="30" customHeight="1" x14ac:dyDescent="0.25">
      <c r="A9" s="123" t="s">
        <v>15</v>
      </c>
      <c r="B9" s="110"/>
      <c r="C9" s="116" t="s">
        <v>16</v>
      </c>
      <c r="D9" s="110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5" t="s">
        <v>20</v>
      </c>
      <c r="B10" s="110"/>
      <c r="C10" s="116" t="s">
        <v>21</v>
      </c>
      <c r="D10" s="110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3" t="s">
        <v>25</v>
      </c>
      <c r="B11" s="110"/>
      <c r="C11" s="124" t="s">
        <v>26</v>
      </c>
      <c r="D11" s="110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5" t="s">
        <v>30</v>
      </c>
      <c r="B12" s="110"/>
      <c r="C12" s="116" t="s">
        <v>31</v>
      </c>
      <c r="D12" s="110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5" t="s">
        <v>35</v>
      </c>
      <c r="B13" s="110"/>
      <c r="C13" s="116" t="s">
        <v>36</v>
      </c>
      <c r="D13" s="110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5" t="s">
        <v>40</v>
      </c>
      <c r="B14" s="110"/>
      <c r="C14" s="116" t="s">
        <v>41</v>
      </c>
      <c r="D14" s="110"/>
      <c r="E14" s="7"/>
      <c r="F14" s="125" t="s">
        <v>42</v>
      </c>
      <c r="G14" s="110"/>
      <c r="H14" s="110"/>
      <c r="I14" s="122" t="s">
        <v>43</v>
      </c>
      <c r="J14" s="111"/>
    </row>
    <row r="15" spans="1:26" ht="15" customHeight="1" x14ac:dyDescent="0.25">
      <c r="A15" s="115" t="s">
        <v>44</v>
      </c>
      <c r="B15" s="110"/>
      <c r="C15" s="116" t="s">
        <v>45</v>
      </c>
      <c r="D15" s="110"/>
      <c r="E15" s="7"/>
      <c r="F15" s="43" t="s">
        <v>74</v>
      </c>
      <c r="G15" s="120" t="str">
        <f>FormSampel!B14</f>
        <v>HC 16350373 - 2</v>
      </c>
      <c r="H15" s="120"/>
      <c r="I15" s="117">
        <f>FormSampel!C14</f>
        <v>45808</v>
      </c>
      <c r="J15" s="118"/>
    </row>
    <row r="16" spans="1:26" ht="15" customHeight="1" x14ac:dyDescent="0.25">
      <c r="A16" s="115" t="s">
        <v>46</v>
      </c>
      <c r="B16" s="110"/>
      <c r="C16" s="119" t="s">
        <v>47</v>
      </c>
      <c r="D16" s="110"/>
      <c r="E16" s="110"/>
      <c r="F16" s="44" t="s">
        <v>75</v>
      </c>
      <c r="G16" s="121" t="str">
        <f>FormSampel!B15</f>
        <v>HC 15161426 - 2</v>
      </c>
      <c r="H16" s="121"/>
      <c r="I16" s="117">
        <f>FormSampel!C15</f>
        <v>45716</v>
      </c>
      <c r="J16" s="118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1" t="str">
        <f>FormSampel!B16</f>
        <v>HC 14813176 - 2</v>
      </c>
      <c r="H17" s="121"/>
      <c r="I17" s="117">
        <f>FormSampel!C16</f>
        <v>45688</v>
      </c>
      <c r="J17" s="11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4" t="str">
        <f>FormSampel!B17</f>
        <v>HC 28942277 - 2</v>
      </c>
      <c r="H18" s="154"/>
      <c r="I18" s="149">
        <f>FormSampel!C17</f>
        <v>46142</v>
      </c>
      <c r="J18" s="150"/>
    </row>
    <row r="19" spans="1:26" x14ac:dyDescent="0.25">
      <c r="A19" s="151" t="s">
        <v>48</v>
      </c>
      <c r="B19" s="152"/>
      <c r="C19" s="152"/>
      <c r="D19" s="152"/>
      <c r="E19" s="152"/>
      <c r="F19" s="152"/>
      <c r="G19" s="152"/>
      <c r="H19" s="152"/>
      <c r="I19" s="152"/>
      <c r="J19" s="153"/>
    </row>
    <row r="20" spans="1:26" ht="26.25" customHeight="1" x14ac:dyDescent="0.25">
      <c r="A20" s="141" t="s">
        <v>49</v>
      </c>
      <c r="B20" s="137"/>
      <c r="C20" s="29">
        <f>FormSampel!G15</f>
        <v>0</v>
      </c>
      <c r="D20" s="30" t="s">
        <v>50</v>
      </c>
      <c r="E20" s="31">
        <v>1000</v>
      </c>
      <c r="F20" s="136" t="s">
        <v>51</v>
      </c>
      <c r="G20" s="137"/>
      <c r="H20" s="138" t="str">
        <f>IF(AND(C21&lt;0.15),"&lt;0.15",C21)</f>
        <v>&lt;0.15</v>
      </c>
      <c r="I20" s="139"/>
      <c r="J20" s="32" t="s">
        <v>52</v>
      </c>
    </row>
    <row r="21" spans="1:26" ht="15.75" customHeight="1" x14ac:dyDescent="0.25">
      <c r="A21" s="33" t="s">
        <v>53</v>
      </c>
      <c r="B21" s="34"/>
      <c r="C21" s="106">
        <f>C20/1000</f>
        <v>0</v>
      </c>
      <c r="D21" s="107"/>
      <c r="E21" s="35"/>
      <c r="F21" s="34"/>
      <c r="G21" s="34"/>
      <c r="H21" s="34"/>
      <c r="I21" s="34"/>
      <c r="J21" s="32"/>
    </row>
    <row r="22" spans="1:26" ht="15.75" customHeight="1" x14ac:dyDescent="0.25">
      <c r="A22" s="142" t="s">
        <v>56</v>
      </c>
      <c r="B22" s="143"/>
      <c r="C22" s="143"/>
      <c r="D22" s="143"/>
      <c r="E22" s="143"/>
      <c r="F22" s="143"/>
      <c r="G22" s="143"/>
      <c r="H22" s="143"/>
      <c r="I22" s="143"/>
      <c r="J22" s="14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1" t="s">
        <v>49</v>
      </c>
      <c r="B23" s="137"/>
      <c r="C23" s="29">
        <f>FormSampel!H15</f>
        <v>0</v>
      </c>
      <c r="D23" s="30" t="s">
        <v>50</v>
      </c>
      <c r="E23" s="36">
        <v>1000</v>
      </c>
      <c r="F23" s="136" t="s">
        <v>51</v>
      </c>
      <c r="G23" s="137"/>
      <c r="H23" s="138" t="str">
        <f>IF(C24&lt;0.15,"&lt;0.15",C24)</f>
        <v>&lt;0.15</v>
      </c>
      <c r="I23" s="139"/>
      <c r="J23" s="32" t="s">
        <v>52</v>
      </c>
    </row>
    <row r="24" spans="1:26" ht="15.75" customHeight="1" x14ac:dyDescent="0.25">
      <c r="A24" s="33" t="s">
        <v>53</v>
      </c>
      <c r="B24" s="34"/>
      <c r="C24" s="106">
        <f>C23/1000</f>
        <v>0</v>
      </c>
      <c r="D24" s="107"/>
      <c r="E24" s="35"/>
      <c r="F24" s="34"/>
      <c r="G24" s="34"/>
      <c r="H24" s="34"/>
      <c r="I24" s="34"/>
      <c r="J24" s="32"/>
    </row>
    <row r="25" spans="1:26" ht="15.75" customHeight="1" x14ac:dyDescent="0.25">
      <c r="A25" s="142" t="s">
        <v>54</v>
      </c>
      <c r="B25" s="143"/>
      <c r="C25" s="143"/>
      <c r="D25" s="143"/>
      <c r="E25" s="143"/>
      <c r="F25" s="143"/>
      <c r="G25" s="143"/>
      <c r="H25" s="143"/>
      <c r="I25" s="143"/>
      <c r="J25" s="14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0" t="s">
        <v>49</v>
      </c>
      <c r="B26" s="110"/>
      <c r="C26" s="29">
        <f>FormSampel!I15</f>
        <v>0</v>
      </c>
      <c r="D26" s="30" t="s">
        <v>50</v>
      </c>
      <c r="E26" s="36">
        <v>1000</v>
      </c>
      <c r="F26" s="145" t="s">
        <v>51</v>
      </c>
      <c r="G26" s="137"/>
      <c r="H26" s="138" t="str">
        <f>IF(AND(C27&lt;0.15),"&lt;0.15",C27)</f>
        <v>&lt;0.15</v>
      </c>
      <c r="I26" s="139"/>
      <c r="J26" s="37" t="s">
        <v>52</v>
      </c>
    </row>
    <row r="27" spans="1:26" ht="15.75" customHeight="1" x14ac:dyDescent="0.25">
      <c r="A27" s="33" t="s">
        <v>53</v>
      </c>
      <c r="B27" s="34"/>
      <c r="C27" s="146">
        <f>C26/1000</f>
        <v>0</v>
      </c>
      <c r="D27" s="147"/>
      <c r="E27" s="35"/>
      <c r="F27" s="34"/>
      <c r="G27" s="34"/>
      <c r="H27" s="34"/>
      <c r="I27" s="34"/>
      <c r="J27" s="32"/>
    </row>
    <row r="28" spans="1:26" ht="15.75" customHeight="1" x14ac:dyDescent="0.25">
      <c r="A28" s="142" t="s">
        <v>55</v>
      </c>
      <c r="B28" s="143"/>
      <c r="C28" s="143"/>
      <c r="D28" s="143"/>
      <c r="E28" s="143"/>
      <c r="F28" s="143"/>
      <c r="G28" s="143"/>
      <c r="H28" s="143"/>
      <c r="I28" s="143"/>
      <c r="J28" s="14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0" t="s">
        <v>49</v>
      </c>
      <c r="B29" s="110"/>
      <c r="C29" s="29">
        <f>FormSampel!J15</f>
        <v>0</v>
      </c>
      <c r="D29" s="30" t="s">
        <v>50</v>
      </c>
      <c r="E29" s="36">
        <v>1000</v>
      </c>
      <c r="F29" s="148" t="s">
        <v>51</v>
      </c>
      <c r="G29" s="110"/>
      <c r="H29" s="138" t="str">
        <f>IF(AND(C30&lt;0.15),"&lt;0.15",C30)</f>
        <v>&lt;0.15</v>
      </c>
      <c r="I29" s="139"/>
      <c r="J29" s="32" t="s">
        <v>52</v>
      </c>
    </row>
    <row r="30" spans="1:26" ht="15.75" customHeight="1" x14ac:dyDescent="0.25">
      <c r="A30" s="33" t="s">
        <v>53</v>
      </c>
      <c r="B30" s="34"/>
      <c r="C30" s="106">
        <f>C29/1000</f>
        <v>0</v>
      </c>
      <c r="D30" s="107"/>
      <c r="E30" s="35"/>
      <c r="F30" s="34"/>
      <c r="G30" s="34"/>
      <c r="H30" s="34"/>
      <c r="I30" s="34"/>
      <c r="J30" s="32"/>
    </row>
    <row r="31" spans="1:26" ht="15.75" customHeight="1" x14ac:dyDescent="0.25">
      <c r="A31" s="108" t="s">
        <v>57</v>
      </c>
      <c r="B31" s="10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9" t="s">
        <v>59</v>
      </c>
      <c r="C32" s="110"/>
      <c r="D32" s="110"/>
      <c r="E32" s="111"/>
      <c r="F32" s="1"/>
      <c r="G32" s="1"/>
      <c r="H32" s="1"/>
      <c r="I32" s="1"/>
      <c r="J32" s="16"/>
    </row>
    <row r="33" spans="1:26" ht="15.75" customHeight="1" x14ac:dyDescent="0.25">
      <c r="A33" s="20"/>
      <c r="B33" s="110"/>
      <c r="C33" s="110"/>
      <c r="D33" s="110"/>
      <c r="E33" s="111"/>
      <c r="F33" s="21"/>
      <c r="G33" s="1"/>
      <c r="H33" s="1"/>
      <c r="I33" s="1"/>
      <c r="J33" s="16"/>
    </row>
    <row r="34" spans="1:26" ht="15.75" customHeight="1" x14ac:dyDescent="0.25">
      <c r="A34" s="22"/>
      <c r="B34" s="109" t="s">
        <v>60</v>
      </c>
      <c r="C34" s="110"/>
      <c r="D34" s="110"/>
      <c r="E34" s="111"/>
      <c r="F34" s="1"/>
      <c r="G34" s="1"/>
      <c r="H34" s="1"/>
      <c r="I34" s="1"/>
      <c r="J34" s="16"/>
    </row>
    <row r="35" spans="1:26" ht="15.75" customHeight="1" x14ac:dyDescent="0.25">
      <c r="A35" s="22"/>
      <c r="B35" s="110"/>
      <c r="C35" s="110"/>
      <c r="D35" s="110"/>
      <c r="E35" s="11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2" t="s">
        <v>61</v>
      </c>
      <c r="B38" s="103"/>
      <c r="C38" s="103"/>
      <c r="D38" s="103"/>
      <c r="E38" s="113"/>
      <c r="F38" s="94" t="str">
        <f>FormSampel!B19</f>
        <v>PERMIT/AMIR/MAISARAH</v>
      </c>
      <c r="G38" s="95"/>
      <c r="H38" s="98">
        <f>FormSampel!B20</f>
        <v>45546</v>
      </c>
      <c r="I38" s="98"/>
      <c r="J38" s="99"/>
    </row>
    <row r="39" spans="1:26" ht="11.25" customHeight="1" x14ac:dyDescent="0.25">
      <c r="A39" s="104"/>
      <c r="B39" s="105"/>
      <c r="C39" s="105"/>
      <c r="D39" s="105"/>
      <c r="E39" s="114"/>
      <c r="F39" s="96"/>
      <c r="G39" s="97"/>
      <c r="H39" s="100"/>
      <c r="I39" s="100"/>
      <c r="J39" s="101"/>
    </row>
    <row r="40" spans="1:26" ht="15.75" customHeight="1" x14ac:dyDescent="0.25">
      <c r="A40" s="102" t="s">
        <v>62</v>
      </c>
      <c r="B40" s="103"/>
      <c r="C40" s="103"/>
      <c r="D40" s="103"/>
      <c r="E40" s="103"/>
      <c r="F40" s="27"/>
      <c r="G40" s="23"/>
      <c r="H40" s="23"/>
      <c r="I40" s="23"/>
      <c r="J40" s="16"/>
    </row>
    <row r="41" spans="1:26" ht="11.25" customHeight="1" x14ac:dyDescent="0.25">
      <c r="A41" s="104"/>
      <c r="B41" s="105"/>
      <c r="C41" s="105"/>
      <c r="D41" s="105"/>
      <c r="E41" s="10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5BB26-EC83-4DEC-86B3-348CE441E56E}">
  <sheetPr codeName="Sheet13"/>
  <dimension ref="A1:Z579"/>
  <sheetViews>
    <sheetView view="pageLayout" topLeftCell="A19" zoomScale="112" zoomScaleNormal="100" zoomScalePageLayoutView="112" workbookViewId="0">
      <selection activeCell="A19" sqref="A19:J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8" t="s">
        <v>0</v>
      </c>
      <c r="B1" s="129"/>
      <c r="C1" s="129"/>
      <c r="D1" s="129"/>
      <c r="E1" s="129"/>
      <c r="F1" s="129"/>
      <c r="G1" s="129"/>
      <c r="H1" s="129"/>
      <c r="I1" s="129"/>
      <c r="J1" s="130"/>
    </row>
    <row r="2" spans="1:26" x14ac:dyDescent="0.25">
      <c r="A2" s="128" t="s">
        <v>1</v>
      </c>
      <c r="B2" s="129"/>
      <c r="C2" s="129"/>
      <c r="D2" s="129"/>
      <c r="E2" s="129"/>
      <c r="F2" s="129"/>
      <c r="G2" s="129"/>
      <c r="H2" s="129"/>
      <c r="I2" s="129"/>
      <c r="J2" s="130"/>
    </row>
    <row r="3" spans="1:26" x14ac:dyDescent="0.25">
      <c r="A3" s="131" t="s">
        <v>2</v>
      </c>
      <c r="B3" s="129"/>
      <c r="C3" s="130"/>
      <c r="D3" s="132">
        <f>FormSampel!F16</f>
        <v>0</v>
      </c>
      <c r="E3" s="129"/>
      <c r="F3" s="129"/>
      <c r="G3" s="129"/>
      <c r="H3" s="129"/>
      <c r="I3" s="129"/>
      <c r="J3" s="130"/>
    </row>
    <row r="4" spans="1:26" x14ac:dyDescent="0.25">
      <c r="A4" s="131" t="s">
        <v>3</v>
      </c>
      <c r="B4" s="129"/>
      <c r="C4" s="130"/>
      <c r="D4" s="132">
        <f>FormSampel!B2</f>
        <v>110924</v>
      </c>
      <c r="E4" s="129"/>
      <c r="F4" s="129"/>
      <c r="G4" s="129"/>
      <c r="H4" s="129"/>
      <c r="I4" s="129"/>
      <c r="J4" s="130"/>
    </row>
    <row r="5" spans="1:26" ht="15" customHeight="1" x14ac:dyDescent="0.25">
      <c r="A5" s="133" t="s">
        <v>4</v>
      </c>
      <c r="B5" s="129"/>
      <c r="C5" s="129"/>
      <c r="D5" s="129"/>
      <c r="E5" s="129"/>
      <c r="F5" s="129"/>
      <c r="G5" s="129"/>
      <c r="H5" s="129"/>
      <c r="I5" s="129"/>
      <c r="J5" s="13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3" t="s">
        <v>5</v>
      </c>
      <c r="B6" s="129"/>
      <c r="C6" s="129"/>
      <c r="D6" s="129"/>
      <c r="E6" s="129"/>
      <c r="F6" s="129"/>
      <c r="G6" s="129"/>
      <c r="H6" s="129"/>
      <c r="I6" s="129"/>
      <c r="J6" s="130"/>
    </row>
    <row r="7" spans="1:26" ht="30" customHeight="1" x14ac:dyDescent="0.25">
      <c r="A7" s="134" t="s">
        <v>6</v>
      </c>
      <c r="B7" s="103"/>
      <c r="C7" s="135" t="s">
        <v>7</v>
      </c>
      <c r="D7" s="103"/>
      <c r="E7" s="103"/>
      <c r="F7" s="42" t="s">
        <v>8</v>
      </c>
      <c r="G7" s="126" t="s">
        <v>9</v>
      </c>
      <c r="H7" s="103"/>
      <c r="I7" s="103"/>
      <c r="J7" s="113"/>
    </row>
    <row r="8" spans="1:26" ht="15" customHeight="1" x14ac:dyDescent="0.25">
      <c r="A8" s="115" t="s">
        <v>10</v>
      </c>
      <c r="B8" s="110"/>
      <c r="C8" s="116" t="s">
        <v>11</v>
      </c>
      <c r="D8" s="110"/>
      <c r="E8" s="4"/>
      <c r="F8" s="38" t="s">
        <v>12</v>
      </c>
      <c r="G8" s="6" t="s">
        <v>13</v>
      </c>
      <c r="H8" s="6" t="s">
        <v>14</v>
      </c>
      <c r="I8" s="127"/>
      <c r="J8" s="111"/>
    </row>
    <row r="9" spans="1:26" ht="30" customHeight="1" x14ac:dyDescent="0.25">
      <c r="A9" s="123" t="s">
        <v>15</v>
      </c>
      <c r="B9" s="110"/>
      <c r="C9" s="116" t="s">
        <v>16</v>
      </c>
      <c r="D9" s="110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5" t="s">
        <v>20</v>
      </c>
      <c r="B10" s="110"/>
      <c r="C10" s="116" t="s">
        <v>21</v>
      </c>
      <c r="D10" s="110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3" t="s">
        <v>25</v>
      </c>
      <c r="B11" s="110"/>
      <c r="C11" s="124" t="s">
        <v>26</v>
      </c>
      <c r="D11" s="110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5" t="s">
        <v>30</v>
      </c>
      <c r="B12" s="110"/>
      <c r="C12" s="116" t="s">
        <v>31</v>
      </c>
      <c r="D12" s="110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5" t="s">
        <v>35</v>
      </c>
      <c r="B13" s="110"/>
      <c r="C13" s="116" t="s">
        <v>36</v>
      </c>
      <c r="D13" s="110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5" t="s">
        <v>40</v>
      </c>
      <c r="B14" s="110"/>
      <c r="C14" s="116" t="s">
        <v>41</v>
      </c>
      <c r="D14" s="110"/>
      <c r="E14" s="7"/>
      <c r="F14" s="125" t="s">
        <v>42</v>
      </c>
      <c r="G14" s="110"/>
      <c r="H14" s="110"/>
      <c r="I14" s="122" t="s">
        <v>43</v>
      </c>
      <c r="J14" s="111"/>
    </row>
    <row r="15" spans="1:26" ht="15" customHeight="1" x14ac:dyDescent="0.25">
      <c r="A15" s="115" t="s">
        <v>44</v>
      </c>
      <c r="B15" s="110"/>
      <c r="C15" s="116" t="s">
        <v>45</v>
      </c>
      <c r="D15" s="110"/>
      <c r="E15" s="7"/>
      <c r="F15" s="43" t="s">
        <v>74</v>
      </c>
      <c r="G15" s="120" t="str">
        <f>FormSampel!B14</f>
        <v>HC 16350373 - 2</v>
      </c>
      <c r="H15" s="120"/>
      <c r="I15" s="117">
        <f>FormSampel!C14</f>
        <v>45808</v>
      </c>
      <c r="J15" s="118"/>
    </row>
    <row r="16" spans="1:26" ht="15" customHeight="1" x14ac:dyDescent="0.25">
      <c r="A16" s="115" t="s">
        <v>46</v>
      </c>
      <c r="B16" s="110"/>
      <c r="C16" s="119" t="s">
        <v>47</v>
      </c>
      <c r="D16" s="110"/>
      <c r="E16" s="110"/>
      <c r="F16" s="44" t="s">
        <v>75</v>
      </c>
      <c r="G16" s="121" t="str">
        <f>FormSampel!B15</f>
        <v>HC 15161426 - 2</v>
      </c>
      <c r="H16" s="121"/>
      <c r="I16" s="117">
        <f>FormSampel!C15</f>
        <v>45716</v>
      </c>
      <c r="J16" s="118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1" t="str">
        <f>FormSampel!B16</f>
        <v>HC 14813176 - 2</v>
      </c>
      <c r="H17" s="121"/>
      <c r="I17" s="117">
        <f>FormSampel!C16</f>
        <v>45688</v>
      </c>
      <c r="J17" s="11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4" t="str">
        <f>FormSampel!B17</f>
        <v>HC 28942277 - 2</v>
      </c>
      <c r="H18" s="154"/>
      <c r="I18" s="149">
        <f>FormSampel!C17</f>
        <v>46142</v>
      </c>
      <c r="J18" s="150"/>
    </row>
    <row r="19" spans="1:26" x14ac:dyDescent="0.25">
      <c r="A19" s="151" t="s">
        <v>48</v>
      </c>
      <c r="B19" s="152"/>
      <c r="C19" s="152"/>
      <c r="D19" s="152"/>
      <c r="E19" s="152"/>
      <c r="F19" s="152"/>
      <c r="G19" s="152"/>
      <c r="H19" s="152"/>
      <c r="I19" s="152"/>
      <c r="J19" s="153"/>
    </row>
    <row r="20" spans="1:26" ht="26.25" customHeight="1" x14ac:dyDescent="0.25">
      <c r="A20" s="141" t="s">
        <v>49</v>
      </c>
      <c r="B20" s="137"/>
      <c r="C20" s="29">
        <f>FormSampel!G16</f>
        <v>0</v>
      </c>
      <c r="D20" s="30" t="s">
        <v>50</v>
      </c>
      <c r="E20" s="31">
        <v>1000</v>
      </c>
      <c r="F20" s="136" t="s">
        <v>51</v>
      </c>
      <c r="G20" s="137"/>
      <c r="H20" s="138" t="str">
        <f>IF(AND(C21&lt;0.15),"&lt;0.15",C21)</f>
        <v>&lt;0.15</v>
      </c>
      <c r="I20" s="139"/>
      <c r="J20" s="32" t="s">
        <v>52</v>
      </c>
    </row>
    <row r="21" spans="1:26" ht="15.75" customHeight="1" x14ac:dyDescent="0.25">
      <c r="A21" s="33" t="s">
        <v>53</v>
      </c>
      <c r="B21" s="34"/>
      <c r="C21" s="106">
        <f>C20/1000</f>
        <v>0</v>
      </c>
      <c r="D21" s="107"/>
      <c r="E21" s="35"/>
      <c r="F21" s="34"/>
      <c r="G21" s="34"/>
      <c r="H21" s="34"/>
      <c r="I21" s="34"/>
      <c r="J21" s="32"/>
    </row>
    <row r="22" spans="1:26" ht="15.75" customHeight="1" x14ac:dyDescent="0.25">
      <c r="A22" s="142" t="s">
        <v>56</v>
      </c>
      <c r="B22" s="143"/>
      <c r="C22" s="143"/>
      <c r="D22" s="143"/>
      <c r="E22" s="143"/>
      <c r="F22" s="143"/>
      <c r="G22" s="143"/>
      <c r="H22" s="143"/>
      <c r="I22" s="143"/>
      <c r="J22" s="14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1" t="s">
        <v>49</v>
      </c>
      <c r="B23" s="137"/>
      <c r="C23" s="29">
        <f>FormSampel!H16</f>
        <v>0</v>
      </c>
      <c r="D23" s="30" t="s">
        <v>50</v>
      </c>
      <c r="E23" s="36">
        <v>1000</v>
      </c>
      <c r="F23" s="136" t="s">
        <v>51</v>
      </c>
      <c r="G23" s="137"/>
      <c r="H23" s="138" t="str">
        <f>IF(C24&lt;0.15,"&lt;0.15",C24)</f>
        <v>&lt;0.15</v>
      </c>
      <c r="I23" s="139"/>
      <c r="J23" s="32" t="s">
        <v>52</v>
      </c>
    </row>
    <row r="24" spans="1:26" ht="15.75" customHeight="1" x14ac:dyDescent="0.25">
      <c r="A24" s="33" t="s">
        <v>53</v>
      </c>
      <c r="B24" s="34"/>
      <c r="C24" s="106">
        <f>C23/1000</f>
        <v>0</v>
      </c>
      <c r="D24" s="107"/>
      <c r="E24" s="35"/>
      <c r="F24" s="34"/>
      <c r="G24" s="34"/>
      <c r="H24" s="34"/>
      <c r="I24" s="34"/>
      <c r="J24" s="32"/>
    </row>
    <row r="25" spans="1:26" ht="15.75" customHeight="1" x14ac:dyDescent="0.25">
      <c r="A25" s="142" t="s">
        <v>54</v>
      </c>
      <c r="B25" s="143"/>
      <c r="C25" s="143"/>
      <c r="D25" s="143"/>
      <c r="E25" s="143"/>
      <c r="F25" s="143"/>
      <c r="G25" s="143"/>
      <c r="H25" s="143"/>
      <c r="I25" s="143"/>
      <c r="J25" s="14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0" t="s">
        <v>49</v>
      </c>
      <c r="B26" s="110"/>
      <c r="C26" s="29">
        <f>FormSampel!I16</f>
        <v>0</v>
      </c>
      <c r="D26" s="30" t="s">
        <v>50</v>
      </c>
      <c r="E26" s="36">
        <v>1000</v>
      </c>
      <c r="F26" s="145" t="s">
        <v>51</v>
      </c>
      <c r="G26" s="137"/>
      <c r="H26" s="138" t="str">
        <f>IF(AND(C27&lt;0.15),"&lt;0.15",C27)</f>
        <v>&lt;0.15</v>
      </c>
      <c r="I26" s="139"/>
      <c r="J26" s="37" t="s">
        <v>52</v>
      </c>
    </row>
    <row r="27" spans="1:26" ht="15.75" customHeight="1" x14ac:dyDescent="0.25">
      <c r="A27" s="33" t="s">
        <v>53</v>
      </c>
      <c r="B27" s="34"/>
      <c r="C27" s="146">
        <f>C26/1000</f>
        <v>0</v>
      </c>
      <c r="D27" s="147"/>
      <c r="E27" s="35"/>
      <c r="F27" s="34"/>
      <c r="G27" s="34"/>
      <c r="H27" s="34"/>
      <c r="I27" s="34"/>
      <c r="J27" s="32"/>
    </row>
    <row r="28" spans="1:26" ht="15.75" customHeight="1" x14ac:dyDescent="0.25">
      <c r="A28" s="142" t="s">
        <v>55</v>
      </c>
      <c r="B28" s="143"/>
      <c r="C28" s="143"/>
      <c r="D28" s="143"/>
      <c r="E28" s="143"/>
      <c r="F28" s="143"/>
      <c r="G28" s="143"/>
      <c r="H28" s="143"/>
      <c r="I28" s="143"/>
      <c r="J28" s="14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0" t="s">
        <v>49</v>
      </c>
      <c r="B29" s="110"/>
      <c r="C29" s="29">
        <f>FormSampel!J16</f>
        <v>0</v>
      </c>
      <c r="D29" s="30" t="s">
        <v>50</v>
      </c>
      <c r="E29" s="36">
        <v>1000</v>
      </c>
      <c r="F29" s="148" t="s">
        <v>51</v>
      </c>
      <c r="G29" s="110"/>
      <c r="H29" s="138" t="str">
        <f>IF(AND(C30&lt;0.15),"&lt;0.15",C30)</f>
        <v>&lt;0.15</v>
      </c>
      <c r="I29" s="139"/>
      <c r="J29" s="32" t="s">
        <v>52</v>
      </c>
    </row>
    <row r="30" spans="1:26" ht="15.75" customHeight="1" x14ac:dyDescent="0.25">
      <c r="A30" s="33" t="s">
        <v>53</v>
      </c>
      <c r="B30" s="34"/>
      <c r="C30" s="106">
        <f>C29/1000</f>
        <v>0</v>
      </c>
      <c r="D30" s="107"/>
      <c r="E30" s="35"/>
      <c r="F30" s="34"/>
      <c r="G30" s="34"/>
      <c r="H30" s="34"/>
      <c r="I30" s="34"/>
      <c r="J30" s="32"/>
    </row>
    <row r="31" spans="1:26" ht="15.75" customHeight="1" x14ac:dyDescent="0.25">
      <c r="A31" s="108" t="s">
        <v>57</v>
      </c>
      <c r="B31" s="10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9" t="s">
        <v>59</v>
      </c>
      <c r="C32" s="110"/>
      <c r="D32" s="110"/>
      <c r="E32" s="111"/>
      <c r="F32" s="1"/>
      <c r="G32" s="1"/>
      <c r="H32" s="1"/>
      <c r="I32" s="1"/>
      <c r="J32" s="16"/>
    </row>
    <row r="33" spans="1:26" ht="15.75" customHeight="1" x14ac:dyDescent="0.25">
      <c r="A33" s="20"/>
      <c r="B33" s="110"/>
      <c r="C33" s="110"/>
      <c r="D33" s="110"/>
      <c r="E33" s="111"/>
      <c r="F33" s="21"/>
      <c r="G33" s="1"/>
      <c r="H33" s="1"/>
      <c r="I33" s="1"/>
      <c r="J33" s="16"/>
    </row>
    <row r="34" spans="1:26" ht="15.75" customHeight="1" x14ac:dyDescent="0.25">
      <c r="A34" s="22"/>
      <c r="B34" s="109" t="s">
        <v>60</v>
      </c>
      <c r="C34" s="110"/>
      <c r="D34" s="110"/>
      <c r="E34" s="111"/>
      <c r="F34" s="1"/>
      <c r="G34" s="1"/>
      <c r="H34" s="1"/>
      <c r="I34" s="1"/>
      <c r="J34" s="16"/>
    </row>
    <row r="35" spans="1:26" ht="15.75" customHeight="1" x14ac:dyDescent="0.25">
      <c r="A35" s="22"/>
      <c r="B35" s="110"/>
      <c r="C35" s="110"/>
      <c r="D35" s="110"/>
      <c r="E35" s="11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2" t="s">
        <v>61</v>
      </c>
      <c r="B38" s="103"/>
      <c r="C38" s="103"/>
      <c r="D38" s="103"/>
      <c r="E38" s="113"/>
      <c r="F38" s="94" t="str">
        <f>FormSampel!B19</f>
        <v>PERMIT/AMIR/MAISARAH</v>
      </c>
      <c r="G38" s="95"/>
      <c r="H38" s="98">
        <f>FormSampel!B20</f>
        <v>45546</v>
      </c>
      <c r="I38" s="98"/>
      <c r="J38" s="99"/>
    </row>
    <row r="39" spans="1:26" ht="11.25" customHeight="1" x14ac:dyDescent="0.25">
      <c r="A39" s="104"/>
      <c r="B39" s="105"/>
      <c r="C39" s="105"/>
      <c r="D39" s="105"/>
      <c r="E39" s="114"/>
      <c r="F39" s="96"/>
      <c r="G39" s="97"/>
      <c r="H39" s="100"/>
      <c r="I39" s="100"/>
      <c r="J39" s="101"/>
    </row>
    <row r="40" spans="1:26" ht="15.75" customHeight="1" x14ac:dyDescent="0.25">
      <c r="A40" s="102" t="s">
        <v>62</v>
      </c>
      <c r="B40" s="103"/>
      <c r="C40" s="103"/>
      <c r="D40" s="103"/>
      <c r="E40" s="103"/>
      <c r="F40" s="27"/>
      <c r="G40" s="23"/>
      <c r="H40" s="23"/>
      <c r="I40" s="23"/>
      <c r="J40" s="16"/>
    </row>
    <row r="41" spans="1:26" ht="11.25" customHeight="1" x14ac:dyDescent="0.25">
      <c r="A41" s="104"/>
      <c r="B41" s="105"/>
      <c r="C41" s="105"/>
      <c r="D41" s="105"/>
      <c r="E41" s="10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E72A6-7697-48BC-A7E8-ABC42CACB18C}">
  <sheetPr codeName="Sheet14"/>
  <dimension ref="A1:Z579"/>
  <sheetViews>
    <sheetView view="pageLayout" topLeftCell="A19" zoomScale="112" zoomScaleNormal="100" zoomScalePageLayoutView="112" workbookViewId="0">
      <selection activeCell="A19" sqref="A19:J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8" t="s">
        <v>0</v>
      </c>
      <c r="B1" s="129"/>
      <c r="C1" s="129"/>
      <c r="D1" s="129"/>
      <c r="E1" s="129"/>
      <c r="F1" s="129"/>
      <c r="G1" s="129"/>
      <c r="H1" s="129"/>
      <c r="I1" s="129"/>
      <c r="J1" s="130"/>
    </row>
    <row r="2" spans="1:26" x14ac:dyDescent="0.25">
      <c r="A2" s="128" t="s">
        <v>1</v>
      </c>
      <c r="B2" s="129"/>
      <c r="C2" s="129"/>
      <c r="D2" s="129"/>
      <c r="E2" s="129"/>
      <c r="F2" s="129"/>
      <c r="G2" s="129"/>
      <c r="H2" s="129"/>
      <c r="I2" s="129"/>
      <c r="J2" s="130"/>
    </row>
    <row r="3" spans="1:26" x14ac:dyDescent="0.25">
      <c r="A3" s="131" t="s">
        <v>2</v>
      </c>
      <c r="B3" s="129"/>
      <c r="C3" s="130"/>
      <c r="D3" s="132">
        <f>FormSampel!F17</f>
        <v>0</v>
      </c>
      <c r="E3" s="129"/>
      <c r="F3" s="129"/>
      <c r="G3" s="129"/>
      <c r="H3" s="129"/>
      <c r="I3" s="129"/>
      <c r="J3" s="130"/>
    </row>
    <row r="4" spans="1:26" x14ac:dyDescent="0.25">
      <c r="A4" s="131" t="s">
        <v>3</v>
      </c>
      <c r="B4" s="129"/>
      <c r="C4" s="130"/>
      <c r="D4" s="132">
        <f>FormSampel!B2</f>
        <v>110924</v>
      </c>
      <c r="E4" s="129"/>
      <c r="F4" s="129"/>
      <c r="G4" s="129"/>
      <c r="H4" s="129"/>
      <c r="I4" s="129"/>
      <c r="J4" s="130"/>
    </row>
    <row r="5" spans="1:26" ht="15" customHeight="1" x14ac:dyDescent="0.25">
      <c r="A5" s="133" t="s">
        <v>4</v>
      </c>
      <c r="B5" s="129"/>
      <c r="C5" s="129"/>
      <c r="D5" s="129"/>
      <c r="E5" s="129"/>
      <c r="F5" s="129"/>
      <c r="G5" s="129"/>
      <c r="H5" s="129"/>
      <c r="I5" s="129"/>
      <c r="J5" s="13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3" t="s">
        <v>5</v>
      </c>
      <c r="B6" s="129"/>
      <c r="C6" s="129"/>
      <c r="D6" s="129"/>
      <c r="E6" s="129"/>
      <c r="F6" s="129"/>
      <c r="G6" s="129"/>
      <c r="H6" s="129"/>
      <c r="I6" s="129"/>
      <c r="J6" s="130"/>
    </row>
    <row r="7" spans="1:26" ht="30" customHeight="1" x14ac:dyDescent="0.25">
      <c r="A7" s="134" t="s">
        <v>6</v>
      </c>
      <c r="B7" s="103"/>
      <c r="C7" s="135" t="s">
        <v>7</v>
      </c>
      <c r="D7" s="103"/>
      <c r="E7" s="103"/>
      <c r="F7" s="42" t="s">
        <v>8</v>
      </c>
      <c r="G7" s="126" t="s">
        <v>9</v>
      </c>
      <c r="H7" s="103"/>
      <c r="I7" s="103"/>
      <c r="J7" s="113"/>
    </row>
    <row r="8" spans="1:26" ht="15" customHeight="1" x14ac:dyDescent="0.25">
      <c r="A8" s="115" t="s">
        <v>10</v>
      </c>
      <c r="B8" s="110"/>
      <c r="C8" s="116" t="s">
        <v>11</v>
      </c>
      <c r="D8" s="110"/>
      <c r="E8" s="4"/>
      <c r="F8" s="38" t="s">
        <v>12</v>
      </c>
      <c r="G8" s="6" t="s">
        <v>13</v>
      </c>
      <c r="H8" s="6" t="s">
        <v>14</v>
      </c>
      <c r="I8" s="127"/>
      <c r="J8" s="111"/>
    </row>
    <row r="9" spans="1:26" ht="30" customHeight="1" x14ac:dyDescent="0.25">
      <c r="A9" s="123" t="s">
        <v>15</v>
      </c>
      <c r="B9" s="110"/>
      <c r="C9" s="116" t="s">
        <v>16</v>
      </c>
      <c r="D9" s="110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5" t="s">
        <v>20</v>
      </c>
      <c r="B10" s="110"/>
      <c r="C10" s="116" t="s">
        <v>21</v>
      </c>
      <c r="D10" s="110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3" t="s">
        <v>25</v>
      </c>
      <c r="B11" s="110"/>
      <c r="C11" s="124" t="s">
        <v>26</v>
      </c>
      <c r="D11" s="110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5" t="s">
        <v>30</v>
      </c>
      <c r="B12" s="110"/>
      <c r="C12" s="116" t="s">
        <v>31</v>
      </c>
      <c r="D12" s="110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5" t="s">
        <v>35</v>
      </c>
      <c r="B13" s="110"/>
      <c r="C13" s="116" t="s">
        <v>36</v>
      </c>
      <c r="D13" s="110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5" t="s">
        <v>40</v>
      </c>
      <c r="B14" s="110"/>
      <c r="C14" s="116" t="s">
        <v>41</v>
      </c>
      <c r="D14" s="110"/>
      <c r="E14" s="7"/>
      <c r="F14" s="125" t="s">
        <v>42</v>
      </c>
      <c r="G14" s="110"/>
      <c r="H14" s="110"/>
      <c r="I14" s="122" t="s">
        <v>43</v>
      </c>
      <c r="J14" s="111"/>
    </row>
    <row r="15" spans="1:26" ht="15" customHeight="1" x14ac:dyDescent="0.25">
      <c r="A15" s="115" t="s">
        <v>44</v>
      </c>
      <c r="B15" s="110"/>
      <c r="C15" s="116" t="s">
        <v>45</v>
      </c>
      <c r="D15" s="110"/>
      <c r="E15" s="7"/>
      <c r="F15" s="43" t="s">
        <v>74</v>
      </c>
      <c r="G15" s="120" t="str">
        <f>FormSampel!B14</f>
        <v>HC 16350373 - 2</v>
      </c>
      <c r="H15" s="120"/>
      <c r="I15" s="117">
        <f>FormSampel!C14</f>
        <v>45808</v>
      </c>
      <c r="J15" s="118"/>
    </row>
    <row r="16" spans="1:26" ht="15" customHeight="1" x14ac:dyDescent="0.25">
      <c r="A16" s="115" t="s">
        <v>46</v>
      </c>
      <c r="B16" s="110"/>
      <c r="C16" s="119" t="s">
        <v>47</v>
      </c>
      <c r="D16" s="110"/>
      <c r="E16" s="110"/>
      <c r="F16" s="44" t="s">
        <v>75</v>
      </c>
      <c r="G16" s="121" t="str">
        <f>FormSampel!B15</f>
        <v>HC 15161426 - 2</v>
      </c>
      <c r="H16" s="121"/>
      <c r="I16" s="117">
        <f>FormSampel!C15</f>
        <v>45716</v>
      </c>
      <c r="J16" s="118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1" t="str">
        <f>FormSampel!B16</f>
        <v>HC 14813176 - 2</v>
      </c>
      <c r="H17" s="121"/>
      <c r="I17" s="117">
        <f>FormSampel!C16</f>
        <v>45688</v>
      </c>
      <c r="J17" s="11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4" t="str">
        <f>FormSampel!B17</f>
        <v>HC 28942277 - 2</v>
      </c>
      <c r="H18" s="154"/>
      <c r="I18" s="149">
        <f>FormSampel!C17</f>
        <v>46142</v>
      </c>
      <c r="J18" s="150"/>
    </row>
    <row r="19" spans="1:26" x14ac:dyDescent="0.25">
      <c r="A19" s="151" t="s">
        <v>48</v>
      </c>
      <c r="B19" s="152"/>
      <c r="C19" s="152"/>
      <c r="D19" s="152"/>
      <c r="E19" s="152"/>
      <c r="F19" s="152"/>
      <c r="G19" s="152"/>
      <c r="H19" s="152"/>
      <c r="I19" s="152"/>
      <c r="J19" s="153"/>
    </row>
    <row r="20" spans="1:26" ht="26.25" customHeight="1" x14ac:dyDescent="0.25">
      <c r="A20" s="141" t="s">
        <v>49</v>
      </c>
      <c r="B20" s="137"/>
      <c r="C20" s="29">
        <f>FormSampel!G17</f>
        <v>0</v>
      </c>
      <c r="D20" s="30" t="s">
        <v>50</v>
      </c>
      <c r="E20" s="31">
        <v>1000</v>
      </c>
      <c r="F20" s="136" t="s">
        <v>51</v>
      </c>
      <c r="G20" s="137"/>
      <c r="H20" s="138" t="str">
        <f>IF(AND(C21&lt;0.15),"&lt;0.15",C21)</f>
        <v>&lt;0.15</v>
      </c>
      <c r="I20" s="139"/>
      <c r="J20" s="32" t="s">
        <v>52</v>
      </c>
    </row>
    <row r="21" spans="1:26" ht="15.75" customHeight="1" x14ac:dyDescent="0.25">
      <c r="A21" s="33" t="s">
        <v>53</v>
      </c>
      <c r="B21" s="34"/>
      <c r="C21" s="106">
        <f>C20/1000</f>
        <v>0</v>
      </c>
      <c r="D21" s="107"/>
      <c r="E21" s="35"/>
      <c r="F21" s="34"/>
      <c r="G21" s="34"/>
      <c r="H21" s="34"/>
      <c r="I21" s="34"/>
      <c r="J21" s="32"/>
    </row>
    <row r="22" spans="1:26" ht="15.75" customHeight="1" x14ac:dyDescent="0.25">
      <c r="A22" s="142" t="s">
        <v>56</v>
      </c>
      <c r="B22" s="143"/>
      <c r="C22" s="143"/>
      <c r="D22" s="143"/>
      <c r="E22" s="143"/>
      <c r="F22" s="143"/>
      <c r="G22" s="143"/>
      <c r="H22" s="143"/>
      <c r="I22" s="143"/>
      <c r="J22" s="14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1" t="s">
        <v>49</v>
      </c>
      <c r="B23" s="137"/>
      <c r="C23" s="29">
        <f>FormSampel!H17</f>
        <v>0</v>
      </c>
      <c r="D23" s="30" t="s">
        <v>50</v>
      </c>
      <c r="E23" s="36">
        <v>1000</v>
      </c>
      <c r="F23" s="136" t="s">
        <v>51</v>
      </c>
      <c r="G23" s="137"/>
      <c r="H23" s="138" t="str">
        <f>IF(C24&lt;0.15,"&lt;0.15",C24)</f>
        <v>&lt;0.15</v>
      </c>
      <c r="I23" s="139"/>
      <c r="J23" s="32" t="s">
        <v>52</v>
      </c>
    </row>
    <row r="24" spans="1:26" ht="15.75" customHeight="1" x14ac:dyDescent="0.25">
      <c r="A24" s="33" t="s">
        <v>53</v>
      </c>
      <c r="B24" s="34"/>
      <c r="C24" s="106">
        <f>C23/1000</f>
        <v>0</v>
      </c>
      <c r="D24" s="107"/>
      <c r="E24" s="35"/>
      <c r="F24" s="34"/>
      <c r="G24" s="34"/>
      <c r="H24" s="34"/>
      <c r="I24" s="34"/>
      <c r="J24" s="32"/>
    </row>
    <row r="25" spans="1:26" ht="15.75" customHeight="1" x14ac:dyDescent="0.25">
      <c r="A25" s="142" t="s">
        <v>54</v>
      </c>
      <c r="B25" s="143"/>
      <c r="C25" s="143"/>
      <c r="D25" s="143"/>
      <c r="E25" s="143"/>
      <c r="F25" s="143"/>
      <c r="G25" s="143"/>
      <c r="H25" s="143"/>
      <c r="I25" s="143"/>
      <c r="J25" s="14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0" t="s">
        <v>49</v>
      </c>
      <c r="B26" s="110"/>
      <c r="C26" s="29">
        <f>FormSampel!I17</f>
        <v>0</v>
      </c>
      <c r="D26" s="30" t="s">
        <v>50</v>
      </c>
      <c r="E26" s="36">
        <v>1000</v>
      </c>
      <c r="F26" s="145" t="s">
        <v>51</v>
      </c>
      <c r="G26" s="137"/>
      <c r="H26" s="138" t="str">
        <f>IF(AND(C27&lt;0.15),"&lt;0.15",C27)</f>
        <v>&lt;0.15</v>
      </c>
      <c r="I26" s="139"/>
      <c r="J26" s="37" t="s">
        <v>52</v>
      </c>
    </row>
    <row r="27" spans="1:26" ht="15.75" customHeight="1" x14ac:dyDescent="0.25">
      <c r="A27" s="33" t="s">
        <v>53</v>
      </c>
      <c r="B27" s="34"/>
      <c r="C27" s="146">
        <f>C26/1000</f>
        <v>0</v>
      </c>
      <c r="D27" s="147"/>
      <c r="E27" s="35"/>
      <c r="F27" s="34"/>
      <c r="G27" s="34"/>
      <c r="H27" s="34"/>
      <c r="I27" s="34"/>
      <c r="J27" s="32"/>
    </row>
    <row r="28" spans="1:26" ht="15.75" customHeight="1" x14ac:dyDescent="0.25">
      <c r="A28" s="142" t="s">
        <v>55</v>
      </c>
      <c r="B28" s="143"/>
      <c r="C28" s="143"/>
      <c r="D28" s="143"/>
      <c r="E28" s="143"/>
      <c r="F28" s="143"/>
      <c r="G28" s="143"/>
      <c r="H28" s="143"/>
      <c r="I28" s="143"/>
      <c r="J28" s="14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0" t="s">
        <v>49</v>
      </c>
      <c r="B29" s="110"/>
      <c r="C29" s="29">
        <f>FormSampel!J17</f>
        <v>0</v>
      </c>
      <c r="D29" s="30" t="s">
        <v>50</v>
      </c>
      <c r="E29" s="36">
        <v>1000</v>
      </c>
      <c r="F29" s="148" t="s">
        <v>51</v>
      </c>
      <c r="G29" s="110"/>
      <c r="H29" s="138" t="str">
        <f>IF(AND(C30&lt;0.15),"&lt;0.15",C30)</f>
        <v>&lt;0.15</v>
      </c>
      <c r="I29" s="139"/>
      <c r="J29" s="32" t="s">
        <v>52</v>
      </c>
    </row>
    <row r="30" spans="1:26" ht="15.75" customHeight="1" x14ac:dyDescent="0.25">
      <c r="A30" s="33" t="s">
        <v>53</v>
      </c>
      <c r="B30" s="34"/>
      <c r="C30" s="106">
        <f>C29/1000</f>
        <v>0</v>
      </c>
      <c r="D30" s="107"/>
      <c r="E30" s="35"/>
      <c r="F30" s="34"/>
      <c r="G30" s="34"/>
      <c r="H30" s="34"/>
      <c r="I30" s="34"/>
      <c r="J30" s="32"/>
    </row>
    <row r="31" spans="1:26" ht="15.75" customHeight="1" x14ac:dyDescent="0.25">
      <c r="A31" s="108" t="s">
        <v>57</v>
      </c>
      <c r="B31" s="10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9" t="s">
        <v>59</v>
      </c>
      <c r="C32" s="110"/>
      <c r="D32" s="110"/>
      <c r="E32" s="111"/>
      <c r="F32" s="1"/>
      <c r="G32" s="1"/>
      <c r="H32" s="1"/>
      <c r="I32" s="1"/>
      <c r="J32" s="16"/>
    </row>
    <row r="33" spans="1:26" ht="15.75" customHeight="1" x14ac:dyDescent="0.25">
      <c r="A33" s="20"/>
      <c r="B33" s="110"/>
      <c r="C33" s="110"/>
      <c r="D33" s="110"/>
      <c r="E33" s="111"/>
      <c r="F33" s="21"/>
      <c r="G33" s="1"/>
      <c r="H33" s="1"/>
      <c r="I33" s="1"/>
      <c r="J33" s="16"/>
    </row>
    <row r="34" spans="1:26" ht="15.75" customHeight="1" x14ac:dyDescent="0.25">
      <c r="A34" s="22"/>
      <c r="B34" s="109" t="s">
        <v>60</v>
      </c>
      <c r="C34" s="110"/>
      <c r="D34" s="110"/>
      <c r="E34" s="111"/>
      <c r="F34" s="1"/>
      <c r="G34" s="1"/>
      <c r="H34" s="1"/>
      <c r="I34" s="1"/>
      <c r="J34" s="16"/>
    </row>
    <row r="35" spans="1:26" ht="15.75" customHeight="1" x14ac:dyDescent="0.25">
      <c r="A35" s="22"/>
      <c r="B35" s="110"/>
      <c r="C35" s="110"/>
      <c r="D35" s="110"/>
      <c r="E35" s="11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2" t="s">
        <v>61</v>
      </c>
      <c r="B38" s="103"/>
      <c r="C38" s="103"/>
      <c r="D38" s="103"/>
      <c r="E38" s="113"/>
      <c r="F38" s="94" t="str">
        <f>FormSampel!B19</f>
        <v>PERMIT/AMIR/MAISARAH</v>
      </c>
      <c r="G38" s="95"/>
      <c r="H38" s="98">
        <f>FormSampel!B20</f>
        <v>45546</v>
      </c>
      <c r="I38" s="98"/>
      <c r="J38" s="99"/>
    </row>
    <row r="39" spans="1:26" ht="11.25" customHeight="1" x14ac:dyDescent="0.25">
      <c r="A39" s="104"/>
      <c r="B39" s="105"/>
      <c r="C39" s="105"/>
      <c r="D39" s="105"/>
      <c r="E39" s="114"/>
      <c r="F39" s="96"/>
      <c r="G39" s="97"/>
      <c r="H39" s="100"/>
      <c r="I39" s="100"/>
      <c r="J39" s="101"/>
    </row>
    <row r="40" spans="1:26" ht="15.75" customHeight="1" x14ac:dyDescent="0.25">
      <c r="A40" s="102" t="s">
        <v>62</v>
      </c>
      <c r="B40" s="103"/>
      <c r="C40" s="103"/>
      <c r="D40" s="103"/>
      <c r="E40" s="103"/>
      <c r="F40" s="27"/>
      <c r="G40" s="23"/>
      <c r="H40" s="23"/>
      <c r="I40" s="23"/>
      <c r="J40" s="16"/>
    </row>
    <row r="41" spans="1:26" ht="11.25" customHeight="1" x14ac:dyDescent="0.25">
      <c r="A41" s="104"/>
      <c r="B41" s="105"/>
      <c r="C41" s="105"/>
      <c r="D41" s="105"/>
      <c r="E41" s="10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C1632-1DF1-4581-8F67-DF7E828E215D}">
  <sheetPr codeName="Sheet15"/>
  <dimension ref="A1:Z579"/>
  <sheetViews>
    <sheetView view="pageLayout" topLeftCell="A19" zoomScale="112" zoomScaleNormal="100" zoomScalePageLayoutView="112" workbookViewId="0">
      <selection activeCell="F29" sqref="F29:G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8" t="s">
        <v>0</v>
      </c>
      <c r="B1" s="129"/>
      <c r="C1" s="129"/>
      <c r="D1" s="129"/>
      <c r="E1" s="129"/>
      <c r="F1" s="129"/>
      <c r="G1" s="129"/>
      <c r="H1" s="129"/>
      <c r="I1" s="129"/>
      <c r="J1" s="130"/>
    </row>
    <row r="2" spans="1:26" x14ac:dyDescent="0.25">
      <c r="A2" s="128" t="s">
        <v>1</v>
      </c>
      <c r="B2" s="129"/>
      <c r="C2" s="129"/>
      <c r="D2" s="129"/>
      <c r="E2" s="129"/>
      <c r="F2" s="129"/>
      <c r="G2" s="129"/>
      <c r="H2" s="129"/>
      <c r="I2" s="129"/>
      <c r="J2" s="130"/>
    </row>
    <row r="3" spans="1:26" x14ac:dyDescent="0.25">
      <c r="A3" s="131" t="s">
        <v>2</v>
      </c>
      <c r="B3" s="129"/>
      <c r="C3" s="130"/>
      <c r="D3" s="132">
        <f>FormSampel!F18</f>
        <v>0</v>
      </c>
      <c r="E3" s="129"/>
      <c r="F3" s="129"/>
      <c r="G3" s="129"/>
      <c r="H3" s="129"/>
      <c r="I3" s="129"/>
      <c r="J3" s="130"/>
    </row>
    <row r="4" spans="1:26" x14ac:dyDescent="0.25">
      <c r="A4" s="131" t="s">
        <v>3</v>
      </c>
      <c r="B4" s="129"/>
      <c r="C4" s="130"/>
      <c r="D4" s="132">
        <f>FormSampel!B2</f>
        <v>110924</v>
      </c>
      <c r="E4" s="129"/>
      <c r="F4" s="129"/>
      <c r="G4" s="129"/>
      <c r="H4" s="129"/>
      <c r="I4" s="129"/>
      <c r="J4" s="130"/>
    </row>
    <row r="5" spans="1:26" ht="15" customHeight="1" x14ac:dyDescent="0.25">
      <c r="A5" s="133" t="s">
        <v>4</v>
      </c>
      <c r="B5" s="129"/>
      <c r="C5" s="129"/>
      <c r="D5" s="129"/>
      <c r="E5" s="129"/>
      <c r="F5" s="129"/>
      <c r="G5" s="129"/>
      <c r="H5" s="129"/>
      <c r="I5" s="129"/>
      <c r="J5" s="13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3" t="s">
        <v>5</v>
      </c>
      <c r="B6" s="129"/>
      <c r="C6" s="129"/>
      <c r="D6" s="129"/>
      <c r="E6" s="129"/>
      <c r="F6" s="129"/>
      <c r="G6" s="129"/>
      <c r="H6" s="129"/>
      <c r="I6" s="129"/>
      <c r="J6" s="130"/>
    </row>
    <row r="7" spans="1:26" ht="30" customHeight="1" x14ac:dyDescent="0.25">
      <c r="A7" s="134" t="s">
        <v>6</v>
      </c>
      <c r="B7" s="103"/>
      <c r="C7" s="135" t="s">
        <v>7</v>
      </c>
      <c r="D7" s="103"/>
      <c r="E7" s="103"/>
      <c r="F7" s="42" t="s">
        <v>8</v>
      </c>
      <c r="G7" s="126" t="s">
        <v>9</v>
      </c>
      <c r="H7" s="103"/>
      <c r="I7" s="103"/>
      <c r="J7" s="113"/>
    </row>
    <row r="8" spans="1:26" ht="15" customHeight="1" x14ac:dyDescent="0.25">
      <c r="A8" s="115" t="s">
        <v>10</v>
      </c>
      <c r="B8" s="110"/>
      <c r="C8" s="116" t="s">
        <v>11</v>
      </c>
      <c r="D8" s="110"/>
      <c r="E8" s="4"/>
      <c r="F8" s="38" t="s">
        <v>12</v>
      </c>
      <c r="G8" s="6" t="s">
        <v>13</v>
      </c>
      <c r="H8" s="6" t="s">
        <v>14</v>
      </c>
      <c r="I8" s="127"/>
      <c r="J8" s="111"/>
    </row>
    <row r="9" spans="1:26" ht="30" customHeight="1" x14ac:dyDescent="0.25">
      <c r="A9" s="123" t="s">
        <v>15</v>
      </c>
      <c r="B9" s="110"/>
      <c r="C9" s="116" t="s">
        <v>16</v>
      </c>
      <c r="D9" s="110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5" t="s">
        <v>20</v>
      </c>
      <c r="B10" s="110"/>
      <c r="C10" s="116" t="s">
        <v>21</v>
      </c>
      <c r="D10" s="110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3" t="s">
        <v>25</v>
      </c>
      <c r="B11" s="110"/>
      <c r="C11" s="124" t="s">
        <v>26</v>
      </c>
      <c r="D11" s="110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5" t="s">
        <v>30</v>
      </c>
      <c r="B12" s="110"/>
      <c r="C12" s="116" t="s">
        <v>31</v>
      </c>
      <c r="D12" s="110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5" t="s">
        <v>35</v>
      </c>
      <c r="B13" s="110"/>
      <c r="C13" s="116" t="s">
        <v>36</v>
      </c>
      <c r="D13" s="110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5" t="s">
        <v>40</v>
      </c>
      <c r="B14" s="110"/>
      <c r="C14" s="116" t="s">
        <v>41</v>
      </c>
      <c r="D14" s="110"/>
      <c r="E14" s="7"/>
      <c r="F14" s="125" t="s">
        <v>42</v>
      </c>
      <c r="G14" s="110"/>
      <c r="H14" s="110"/>
      <c r="I14" s="122" t="s">
        <v>43</v>
      </c>
      <c r="J14" s="111"/>
    </row>
    <row r="15" spans="1:26" ht="15" customHeight="1" x14ac:dyDescent="0.25">
      <c r="A15" s="115" t="s">
        <v>44</v>
      </c>
      <c r="B15" s="110"/>
      <c r="C15" s="116" t="s">
        <v>45</v>
      </c>
      <c r="D15" s="110"/>
      <c r="E15" s="7"/>
      <c r="F15" s="43" t="s">
        <v>74</v>
      </c>
      <c r="G15" s="120" t="str">
        <f>FormSampel!B14</f>
        <v>HC 16350373 - 2</v>
      </c>
      <c r="H15" s="120"/>
      <c r="I15" s="117">
        <f>FormSampel!C14</f>
        <v>45808</v>
      </c>
      <c r="J15" s="118"/>
    </row>
    <row r="16" spans="1:26" ht="15" customHeight="1" x14ac:dyDescent="0.25">
      <c r="A16" s="115" t="s">
        <v>46</v>
      </c>
      <c r="B16" s="110"/>
      <c r="C16" s="119" t="s">
        <v>47</v>
      </c>
      <c r="D16" s="110"/>
      <c r="E16" s="110"/>
      <c r="F16" s="44" t="s">
        <v>75</v>
      </c>
      <c r="G16" s="121" t="str">
        <f>FormSampel!B15</f>
        <v>HC 15161426 - 2</v>
      </c>
      <c r="H16" s="121"/>
      <c r="I16" s="117">
        <f>FormSampel!C15</f>
        <v>45716</v>
      </c>
      <c r="J16" s="118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1" t="str">
        <f>FormSampel!B16</f>
        <v>HC 14813176 - 2</v>
      </c>
      <c r="H17" s="121"/>
      <c r="I17" s="117">
        <f>FormSampel!C16</f>
        <v>45688</v>
      </c>
      <c r="J17" s="11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4" t="str">
        <f>FormSampel!B17</f>
        <v>HC 28942277 - 2</v>
      </c>
      <c r="H18" s="154"/>
      <c r="I18" s="149">
        <f>FormSampel!C17</f>
        <v>46142</v>
      </c>
      <c r="J18" s="150"/>
    </row>
    <row r="19" spans="1:26" x14ac:dyDescent="0.25">
      <c r="A19" s="151" t="s">
        <v>48</v>
      </c>
      <c r="B19" s="152"/>
      <c r="C19" s="152"/>
      <c r="D19" s="152"/>
      <c r="E19" s="152"/>
      <c r="F19" s="152"/>
      <c r="G19" s="152"/>
      <c r="H19" s="152"/>
      <c r="I19" s="152"/>
      <c r="J19" s="153"/>
    </row>
    <row r="20" spans="1:26" ht="26.25" customHeight="1" x14ac:dyDescent="0.25">
      <c r="A20" s="141" t="s">
        <v>49</v>
      </c>
      <c r="B20" s="137"/>
      <c r="C20" s="29">
        <f>FormSampel!G18</f>
        <v>0</v>
      </c>
      <c r="D20" s="30" t="s">
        <v>50</v>
      </c>
      <c r="E20" s="31">
        <v>1000</v>
      </c>
      <c r="F20" s="136" t="s">
        <v>51</v>
      </c>
      <c r="G20" s="137"/>
      <c r="H20" s="138" t="str">
        <f>IF(AND(C21&lt;0.15),"&lt;0.15",C21)</f>
        <v>&lt;0.15</v>
      </c>
      <c r="I20" s="139"/>
      <c r="J20" s="32" t="s">
        <v>52</v>
      </c>
    </row>
    <row r="21" spans="1:26" ht="15.75" customHeight="1" x14ac:dyDescent="0.25">
      <c r="A21" s="33" t="s">
        <v>53</v>
      </c>
      <c r="B21" s="34"/>
      <c r="C21" s="106">
        <f>C20/1000</f>
        <v>0</v>
      </c>
      <c r="D21" s="107"/>
      <c r="E21" s="35"/>
      <c r="F21" s="34"/>
      <c r="G21" s="34"/>
      <c r="H21" s="34"/>
      <c r="I21" s="34"/>
      <c r="J21" s="32"/>
    </row>
    <row r="22" spans="1:26" ht="15.75" customHeight="1" x14ac:dyDescent="0.25">
      <c r="A22" s="142" t="s">
        <v>56</v>
      </c>
      <c r="B22" s="143"/>
      <c r="C22" s="143"/>
      <c r="D22" s="143"/>
      <c r="E22" s="143"/>
      <c r="F22" s="143"/>
      <c r="G22" s="143"/>
      <c r="H22" s="143"/>
      <c r="I22" s="143"/>
      <c r="J22" s="14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1" t="s">
        <v>49</v>
      </c>
      <c r="B23" s="137"/>
      <c r="C23" s="29">
        <f>FormSampel!H18</f>
        <v>0</v>
      </c>
      <c r="D23" s="30" t="s">
        <v>50</v>
      </c>
      <c r="E23" s="36">
        <v>1000</v>
      </c>
      <c r="F23" s="136" t="s">
        <v>51</v>
      </c>
      <c r="G23" s="137"/>
      <c r="H23" s="138" t="str">
        <f>IF(C24&lt;0.15,"&lt;0.15",C24)</f>
        <v>&lt;0.15</v>
      </c>
      <c r="I23" s="139"/>
      <c r="J23" s="32" t="s">
        <v>52</v>
      </c>
    </row>
    <row r="24" spans="1:26" ht="15.75" customHeight="1" x14ac:dyDescent="0.25">
      <c r="A24" s="33" t="s">
        <v>53</v>
      </c>
      <c r="B24" s="34"/>
      <c r="C24" s="106">
        <f>C23/1000</f>
        <v>0</v>
      </c>
      <c r="D24" s="107"/>
      <c r="E24" s="35"/>
      <c r="F24" s="34"/>
      <c r="G24" s="34"/>
      <c r="H24" s="34"/>
      <c r="I24" s="34"/>
      <c r="J24" s="32"/>
    </row>
    <row r="25" spans="1:26" ht="15.75" customHeight="1" x14ac:dyDescent="0.25">
      <c r="A25" s="142" t="s">
        <v>54</v>
      </c>
      <c r="B25" s="143"/>
      <c r="C25" s="143"/>
      <c r="D25" s="143"/>
      <c r="E25" s="143"/>
      <c r="F25" s="143"/>
      <c r="G25" s="143"/>
      <c r="H25" s="143"/>
      <c r="I25" s="143"/>
      <c r="J25" s="14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0" t="s">
        <v>49</v>
      </c>
      <c r="B26" s="110"/>
      <c r="C26" s="29">
        <f>FormSampel!I18</f>
        <v>0</v>
      </c>
      <c r="D26" s="30" t="s">
        <v>50</v>
      </c>
      <c r="E26" s="36">
        <v>1000</v>
      </c>
      <c r="F26" s="145" t="s">
        <v>51</v>
      </c>
      <c r="G26" s="137"/>
      <c r="H26" s="138" t="str">
        <f>IF(AND(C27&lt;0.15),"&lt;0.15",C27)</f>
        <v>&lt;0.15</v>
      </c>
      <c r="I26" s="139"/>
      <c r="J26" s="37" t="s">
        <v>52</v>
      </c>
    </row>
    <row r="27" spans="1:26" ht="15.75" customHeight="1" x14ac:dyDescent="0.25">
      <c r="A27" s="33" t="s">
        <v>53</v>
      </c>
      <c r="B27" s="34"/>
      <c r="C27" s="146">
        <f>C26/1000</f>
        <v>0</v>
      </c>
      <c r="D27" s="147"/>
      <c r="E27" s="35"/>
      <c r="F27" s="34"/>
      <c r="G27" s="34"/>
      <c r="H27" s="34"/>
      <c r="I27" s="34"/>
      <c r="J27" s="32"/>
    </row>
    <row r="28" spans="1:26" ht="15.75" customHeight="1" x14ac:dyDescent="0.25">
      <c r="A28" s="142" t="s">
        <v>55</v>
      </c>
      <c r="B28" s="143"/>
      <c r="C28" s="143"/>
      <c r="D28" s="143"/>
      <c r="E28" s="143"/>
      <c r="F28" s="143"/>
      <c r="G28" s="143"/>
      <c r="H28" s="143"/>
      <c r="I28" s="143"/>
      <c r="J28" s="14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0" t="s">
        <v>49</v>
      </c>
      <c r="B29" s="110"/>
      <c r="C29" s="29">
        <f>FormSampel!J18</f>
        <v>0</v>
      </c>
      <c r="D29" s="30" t="s">
        <v>50</v>
      </c>
      <c r="E29" s="36">
        <v>1000</v>
      </c>
      <c r="F29" s="148" t="s">
        <v>51</v>
      </c>
      <c r="G29" s="110"/>
      <c r="H29" s="138" t="str">
        <f>IF(AND(C30&lt;0.15),"&lt;0.15",C30)</f>
        <v>&lt;0.15</v>
      </c>
      <c r="I29" s="139"/>
      <c r="J29" s="32" t="s">
        <v>52</v>
      </c>
    </row>
    <row r="30" spans="1:26" ht="15.75" customHeight="1" x14ac:dyDescent="0.25">
      <c r="A30" s="33" t="s">
        <v>53</v>
      </c>
      <c r="B30" s="34"/>
      <c r="C30" s="106">
        <f>C29/1000</f>
        <v>0</v>
      </c>
      <c r="D30" s="107"/>
      <c r="E30" s="35"/>
      <c r="F30" s="34"/>
      <c r="G30" s="34"/>
      <c r="H30" s="34"/>
      <c r="I30" s="34"/>
      <c r="J30" s="32"/>
    </row>
    <row r="31" spans="1:26" ht="15.75" customHeight="1" x14ac:dyDescent="0.25">
      <c r="A31" s="108" t="s">
        <v>57</v>
      </c>
      <c r="B31" s="10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9" t="s">
        <v>59</v>
      </c>
      <c r="C32" s="110"/>
      <c r="D32" s="110"/>
      <c r="E32" s="111"/>
      <c r="F32" s="1"/>
      <c r="G32" s="1"/>
      <c r="H32" s="1"/>
      <c r="I32" s="1"/>
      <c r="J32" s="16"/>
    </row>
    <row r="33" spans="1:26" ht="15.75" customHeight="1" x14ac:dyDescent="0.25">
      <c r="A33" s="20"/>
      <c r="B33" s="110"/>
      <c r="C33" s="110"/>
      <c r="D33" s="110"/>
      <c r="E33" s="111"/>
      <c r="F33" s="21"/>
      <c r="G33" s="1"/>
      <c r="H33" s="1"/>
      <c r="I33" s="1"/>
      <c r="J33" s="16"/>
    </row>
    <row r="34" spans="1:26" ht="15.75" customHeight="1" x14ac:dyDescent="0.25">
      <c r="A34" s="22"/>
      <c r="B34" s="109" t="s">
        <v>60</v>
      </c>
      <c r="C34" s="110"/>
      <c r="D34" s="110"/>
      <c r="E34" s="111"/>
      <c r="F34" s="1"/>
      <c r="G34" s="1"/>
      <c r="H34" s="1"/>
      <c r="I34" s="1"/>
      <c r="J34" s="16"/>
    </row>
    <row r="35" spans="1:26" ht="15.75" customHeight="1" x14ac:dyDescent="0.25">
      <c r="A35" s="22"/>
      <c r="B35" s="110"/>
      <c r="C35" s="110"/>
      <c r="D35" s="110"/>
      <c r="E35" s="11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2" t="s">
        <v>61</v>
      </c>
      <c r="B38" s="103"/>
      <c r="C38" s="103"/>
      <c r="D38" s="103"/>
      <c r="E38" s="113"/>
      <c r="F38" s="94" t="str">
        <f>FormSampel!B19</f>
        <v>PERMIT/AMIR/MAISARAH</v>
      </c>
      <c r="G38" s="95"/>
      <c r="H38" s="98">
        <f>FormSampel!B20</f>
        <v>45546</v>
      </c>
      <c r="I38" s="98"/>
      <c r="J38" s="99"/>
    </row>
    <row r="39" spans="1:26" ht="11.25" customHeight="1" x14ac:dyDescent="0.25">
      <c r="A39" s="104"/>
      <c r="B39" s="105"/>
      <c r="C39" s="105"/>
      <c r="D39" s="105"/>
      <c r="E39" s="114"/>
      <c r="F39" s="96"/>
      <c r="G39" s="97"/>
      <c r="H39" s="100"/>
      <c r="I39" s="100"/>
      <c r="J39" s="101"/>
    </row>
    <row r="40" spans="1:26" ht="15.75" customHeight="1" x14ac:dyDescent="0.25">
      <c r="A40" s="102" t="s">
        <v>62</v>
      </c>
      <c r="B40" s="103"/>
      <c r="C40" s="103"/>
      <c r="D40" s="103"/>
      <c r="E40" s="103"/>
      <c r="F40" s="27"/>
      <c r="G40" s="23"/>
      <c r="H40" s="23"/>
      <c r="I40" s="23"/>
      <c r="J40" s="16"/>
    </row>
    <row r="41" spans="1:26" ht="11.25" customHeight="1" x14ac:dyDescent="0.25">
      <c r="A41" s="104"/>
      <c r="B41" s="105"/>
      <c r="C41" s="105"/>
      <c r="D41" s="105"/>
      <c r="E41" s="10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FormSampel</vt:lpstr>
      <vt:lpstr>Sampel 1</vt:lpstr>
      <vt:lpstr>Sampel 2</vt:lpstr>
      <vt:lpstr>Sampel 3</vt:lpstr>
      <vt:lpstr>Sampel 4</vt:lpstr>
      <vt:lpstr>Sampel 5</vt:lpstr>
      <vt:lpstr>Sampel 6</vt:lpstr>
      <vt:lpstr>Sampel 7</vt:lpstr>
      <vt:lpstr>Sampel 8</vt:lpstr>
      <vt:lpstr>Sampel 9</vt:lpstr>
      <vt:lpstr>Sampel 10</vt:lpstr>
      <vt:lpstr>Sampel 11</vt:lpstr>
      <vt:lpstr>Sampel 12</vt:lpstr>
      <vt:lpstr>Sampel 13</vt:lpstr>
      <vt:lpstr>Sampel 14</vt:lpstr>
      <vt:lpstr>Sampel 15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2024-12-02T09:26:14Z</cp:lastPrinted>
  <dcterms:created xsi:type="dcterms:W3CDTF">2006-09-16T00:00:00Z</dcterms:created>
  <dcterms:modified xsi:type="dcterms:W3CDTF">2024-12-02T09:26:22Z</dcterms:modified>
</cp:coreProperties>
</file>