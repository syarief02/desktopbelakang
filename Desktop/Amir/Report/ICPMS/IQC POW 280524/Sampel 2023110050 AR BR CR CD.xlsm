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IQC POW 280524\"/>
    </mc:Choice>
  </mc:AlternateContent>
  <xr:revisionPtr revIDLastSave="0" documentId="13_ncr:1_{E349E4E6-66FE-4FD9-B453-21D6BF9E2442}" xr6:coauthVersionLast="36" xr6:coauthVersionMax="36" xr10:uidLastSave="{00000000-0000-0000-0000-000000000000}"/>
  <bookViews>
    <workbookView xWindow="0" yWindow="0" windowWidth="28800" windowHeight="12300" activeTab="2" xr2:uid="{00000000-000D-0000-FFFF-FFFF00000000}"/>
  </bookViews>
  <sheets>
    <sheet name="2023110050 AR CD " sheetId="2" r:id="rId1"/>
    <sheet name="2023110050 BR CD" sheetId="1" r:id="rId2"/>
    <sheet name="2023110050 CR CD " sheetId="3" r:id="rId3"/>
  </sheets>
  <calcPr calcId="191029"/>
  <extLst>
    <ext uri="GoogleSheetsCustomDataVersion2">
      <go:sheetsCustomData xmlns:go="http://customooxmlschemas.google.com/" r:id="rId13" roundtripDataChecksum="OeDx82juqHY3uZlQVjZ5VC9zV5eEQciKrCMwgyxCCXY="/>
    </ext>
  </extLst>
</workbook>
</file>

<file path=xl/calcChain.xml><?xml version="1.0" encoding="utf-8"?>
<calcChain xmlns="http://schemas.openxmlformats.org/spreadsheetml/2006/main">
  <c r="C24" i="3" l="1"/>
  <c r="H23" i="3"/>
  <c r="C24" i="2"/>
  <c r="H23" i="2"/>
  <c r="C24" i="1" l="1"/>
  <c r="H23" i="1" s="1"/>
</calcChain>
</file>

<file path=xl/sharedStrings.xml><?xml version="1.0" encoding="utf-8"?>
<sst xmlns="http://schemas.openxmlformats.org/spreadsheetml/2006/main" count="273" uniqueCount="72">
  <si>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</si>
  <si>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</si>
  <si>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</si>
  <si>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</si>
  <si>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</si>
  <si>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</si>
  <si>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</si>
  <si>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</si>
  <si>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</si>
  <si>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</si>
  <si>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</si>
  <si>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</si>
  <si>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</si>
  <si>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</si>
  <si>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</si>
  <si>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</si>
  <si>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</si>
  <si>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</si>
  <si>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</si>
  <si>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</si>
  <si>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</si>
  <si>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</si>
  <si>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</si>
  <si>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</si>
  <si>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</si>
  <si>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</si>
  <si>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</si>
  <si>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</si>
  <si>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</si>
  <si>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</si>
  <si>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</si>
  <si>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</si>
  <si>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</si>
  <si>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</si>
  <si>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</si>
  <si>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</si>
  <si>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</si>
  <si>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</si>
  <si>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</si>
  <si>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</si>
  <si>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</si>
  <si>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</si>
  <si>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</si>
  <si>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</si>
  <si>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</si>
  <si>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</si>
  <si>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</si>
  <si>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</si>
  <si>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</si>
  <si>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</si>
  <si>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</si>
  <si>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</si>
  <si>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</si>
  <si>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</si>
  <si>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</si>
  <si>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</si>
  <si>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</si>
  <si>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</si>
  <si>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</si>
  <si>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</si>
  <si>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</si>
  <si>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</si>
  <si>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</si>
  <si>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</si>
  <si>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</si>
  <si>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</si>
  <si>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</si>
  <si>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2023110050 AR CD</t>
  </si>
  <si>
    <t>300524</t>
  </si>
  <si>
    <t>NA</t>
  </si>
  <si>
    <t>AMIR           30/05/2024</t>
  </si>
  <si>
    <t>2023110050 BR 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</si>
</sst>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0" fontId="1" fillId="0" borderId="7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1" fillId="0" borderId="1" xfId="0" applyNumberFormat="1" applyFont="1" applyBorder="1" applyAlignment="1">
      <alignment horizontal="center"/>
    </xf>
    <xf numFmtId="0" fontId="2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" fontId="3" fillId="0" borderId="9" xfId="0" applyNumberFormat="1" applyFont="1" applyBorder="1" applyAlignment="1">
      <alignment wrapText="1"/>
    </xf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164" fontId="3" fillId="4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5" Type="http://schemas.openxmlformats.org/officeDocument/2006/relationships/styles" Target="styles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9BA71795-5BB9-4ACD-B504-7A0FDED5BDE1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6106A7EA-F491-4611-84A3-E5563BBAC7F4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57B33E75-AB7D-4040-BB13-D1A6D095520A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5F7063FE-458E-48BB-A580-E8CB2B13FDD7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2B004166-7033-44CE-9635-0B6B7ED3A1D6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BAF9ECEA-FAA3-494B-B2BF-F767E355B3A4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423C4754-3BB8-4A21-BEF5-94E7BAFCB519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7391CA44-303C-453B-A417-0B01AF11C2AC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A849056-28D5-4F10-A9A8-FE841BFF2AD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A8788CD4-D006-4D6B-BFF5-53488FB5731C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71A9FFD-E9A0-4B4F-BD29-5576A3F5B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96397C7-D147-46C5-A6F5-6B3D02A3AB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4A594C2B-A53C-4D4B-A384-D850DC742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6E2BC333-CAAC-4007-AA89-825F1F2B4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80F3D801-FEC7-4BB0-A59A-6D57E408E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E17B7F3E-2F26-41A0-8B6F-409C4E92D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8204871C-3100-4C61-8F64-044B6152781D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7B2802CE-9423-4BDC-91A5-B47AD05E425C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A823AECB-EFAE-4EA2-9D61-CB4753E1F15A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66B89877-6233-4712-86BC-E36BC1E0441E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D7CCA6D0-086E-4FA0-9E9B-921CC50D367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5A33DDB0-A84A-4568-88B5-71FADD8FF91A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54341A61-0C2B-4319-976F-F26896653FC7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E1AAB5AF-6DAC-413C-9002-2445A8B4700A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F50FC4B8-3505-4743-98D2-AE7FA33072E8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A566B400-2421-4632-8384-47D176FD4C1D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4F3F1CE-D711-46A1-A21D-D5A29B2FF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8C72D06-0560-47DA-93CA-513B37157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472EBE0D-1307-4684-9D05-EEF164767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95499592-1CE0-48AF-8BB2-AFB7258225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34451127-4B54-4C79-AA42-6F352F6E7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55567D41-69AF-4A9E-B65F-D153693F4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5829F-B30D-4274-9393-0B8A7301845A}">
  <sheetPr codeName="Sheet2"/>
  <dimension ref="A1:Z579"/>
  <sheetViews>
    <sheetView view="pageLayout" topLeftCell="A20" zoomScale="112" zoomScaleNormal="100" zoomScalePageLayoutView="112" workbookViewId="0">
      <selection activeCell="G32" sqref="G32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 t="s">
        <v>67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92" t="s">
        <v>69</v>
      </c>
      <c r="D20" s="16" t="s">
        <v>50</v>
      </c>
      <c r="E20" s="17">
        <v>1000</v>
      </c>
      <c r="F20" s="81" t="s">
        <v>51</v>
      </c>
      <c r="G20" s="49"/>
      <c r="H20" s="82" t="s">
        <v>69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/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364.78500000000003</v>
      </c>
      <c r="D23" s="16" t="s">
        <v>50</v>
      </c>
      <c r="E23" s="21">
        <v>1000</v>
      </c>
      <c r="F23" s="81" t="s">
        <v>51</v>
      </c>
      <c r="G23" s="49"/>
      <c r="H23" s="82">
        <f>IF(AND(C24&lt;0.15),"&lt;0.15",C24)</f>
        <v>0.36478500000000003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0.36478500000000003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92" t="s">
        <v>69</v>
      </c>
      <c r="D26" s="16" t="s">
        <v>50</v>
      </c>
      <c r="E26" s="21">
        <v>1000</v>
      </c>
      <c r="F26" s="86" t="s">
        <v>51</v>
      </c>
      <c r="G26" s="49"/>
      <c r="H26" s="82" t="s">
        <v>69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/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92" t="s">
        <v>69</v>
      </c>
      <c r="D29" s="16" t="s">
        <v>50</v>
      </c>
      <c r="E29" s="21">
        <v>1000</v>
      </c>
      <c r="F29" s="88" t="s">
        <v>51</v>
      </c>
      <c r="G29" s="56"/>
      <c r="H29" s="82" t="s">
        <v>69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/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70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16" zoomScale="112" zoomScaleNormal="100" zoomScalePageLayoutView="112" workbookViewId="0">
      <selection activeCell="F24" sqref="F2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 t="s">
        <v>71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2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5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7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7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"/>
      <c r="B17" s="2"/>
      <c r="C17" s="13"/>
      <c r="D17" s="13"/>
      <c r="E17" s="13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92" t="s">
        <v>69</v>
      </c>
      <c r="D20" s="16" t="s">
        <v>50</v>
      </c>
      <c r="E20" s="17">
        <v>1000</v>
      </c>
      <c r="F20" s="81" t="s">
        <v>51</v>
      </c>
      <c r="G20" s="49"/>
      <c r="H20" s="82" t="s">
        <v>69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/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359.84899999999999</v>
      </c>
      <c r="D23" s="16" t="s">
        <v>50</v>
      </c>
      <c r="E23" s="21">
        <v>1000</v>
      </c>
      <c r="F23" s="81" t="s">
        <v>51</v>
      </c>
      <c r="G23" s="49"/>
      <c r="H23" s="82">
        <f>IF(AND(C24&lt;0.15),"&lt;0.15",C24)</f>
        <v>0.35984899999999997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0.35984899999999997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92" t="s">
        <v>69</v>
      </c>
      <c r="D26" s="16" t="s">
        <v>50</v>
      </c>
      <c r="E26" s="21">
        <v>1000</v>
      </c>
      <c r="F26" s="86" t="s">
        <v>51</v>
      </c>
      <c r="G26" s="49"/>
      <c r="H26" s="82" t="s">
        <v>69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/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92" t="s">
        <v>69</v>
      </c>
      <c r="D29" s="16" t="s">
        <v>50</v>
      </c>
      <c r="E29" s="21">
        <v>1000</v>
      </c>
      <c r="F29" s="88" t="s">
        <v>51</v>
      </c>
      <c r="G29" s="56"/>
      <c r="H29" s="82" t="s">
        <v>69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/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70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F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E612F-F71B-45CE-B409-9059F697C243}">
  <sheetPr codeName="Sheet3"/>
  <dimension ref="A1:Z579"/>
  <sheetViews>
    <sheetView tabSelected="1" view="pageLayout" topLeftCell="A22" zoomScale="112" zoomScaleNormal="100" zoomScalePageLayoutView="112" workbookViewId="0">
      <selection activeCell="F24" sqref="F24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 t="s">
        <v>67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92" t="s">
        <v>69</v>
      </c>
      <c r="D20" s="16" t="s">
        <v>50</v>
      </c>
      <c r="E20" s="17">
        <v>1000</v>
      </c>
      <c r="F20" s="81" t="s">
        <v>51</v>
      </c>
      <c r="G20" s="49"/>
      <c r="H20" s="82" t="s">
        <v>69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/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362.73</v>
      </c>
      <c r="D23" s="16" t="s">
        <v>50</v>
      </c>
      <c r="E23" s="21">
        <v>1000</v>
      </c>
      <c r="F23" s="81" t="s">
        <v>51</v>
      </c>
      <c r="G23" s="49"/>
      <c r="H23" s="82">
        <f>IF(AND(C24&lt;0.15),"&lt;0.15",C24)</f>
        <v>0.36273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0.36273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92" t="s">
        <v>69</v>
      </c>
      <c r="D26" s="16" t="s">
        <v>50</v>
      </c>
      <c r="E26" s="21">
        <v>1000</v>
      </c>
      <c r="F26" s="86" t="s">
        <v>51</v>
      </c>
      <c r="G26" s="49"/>
      <c r="H26" s="82" t="s">
        <v>69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/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92" t="s">
        <v>69</v>
      </c>
      <c r="D29" s="16" t="s">
        <v>50</v>
      </c>
      <c r="E29" s="21">
        <v>1000</v>
      </c>
      <c r="F29" s="88" t="s">
        <v>51</v>
      </c>
      <c r="G29" s="56"/>
      <c r="H29" s="82" t="s">
        <v>69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/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70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2023110050 AR CD </vt:lpstr>
      <vt:lpstr>2023110050 BR CD</vt:lpstr>
      <vt:lpstr>2023110050 CR CD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2024-05-30T07:10:39Z</dcterms:modified>
</cp:coreProperties>
</file>