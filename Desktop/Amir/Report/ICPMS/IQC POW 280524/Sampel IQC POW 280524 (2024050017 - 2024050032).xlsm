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mir\Report\ICPMS\IQC POW 280524\"/>
    </mc:Choice>
  </mc:AlternateContent>
  <xr:revisionPtr revIDLastSave="0" documentId="13_ncr:1_{C9EE4412-7870-4942-A65F-BCFF4AF3FD70}" xr6:coauthVersionLast="36" xr6:coauthVersionMax="36" xr10:uidLastSave="{00000000-0000-0000-0000-000000000000}"/>
  <bookViews>
    <workbookView xWindow="0" yWindow="0" windowWidth="28800" windowHeight="12300" firstSheet="3" activeTab="8" xr2:uid="{00000000-000D-0000-FFFF-FFFF00000000}"/>
  </bookViews>
  <sheets>
    <sheet name="2024050017" sheetId="1" r:id="rId1"/>
    <sheet name="2024050018" sheetId="3" r:id="rId2"/>
    <sheet name="2024050027" sheetId="4" r:id="rId3"/>
    <sheet name="2024050028" sheetId="5" r:id="rId4"/>
    <sheet name="2024050029" sheetId="6" r:id="rId5"/>
    <sheet name="2024050030" sheetId="7" r:id="rId6"/>
    <sheet name="2024050031" sheetId="8" r:id="rId7"/>
    <sheet name="2024050032" sheetId="9" r:id="rId8"/>
    <sheet name="2024050114" sheetId="10" r:id="rId9"/>
  </sheets>
  <calcPr calcId="191029"/>
  <extLst>
    <ext uri="GoogleSheetsCustomDataVersion2">
      <go:sheetsCustomData xmlns:go="http://customooxmlschemas.google.com/" r:id="rId13" roundtripDataChecksum="OeDx82juqHY3uZlQVjZ5VC9zV5eEQciKrCMwgyxCCXY="/>
    </ext>
  </extLst>
</workbook>
</file>

<file path=xl/calcChain.xml><?xml version="1.0" encoding="utf-8"?>
<calcChain xmlns="http://schemas.openxmlformats.org/spreadsheetml/2006/main">
  <c r="C30" i="10" l="1"/>
  <c r="H29" i="10"/>
  <c r="C27" i="10"/>
  <c r="H26" i="10" s="1"/>
  <c r="C24" i="10"/>
  <c r="H23" i="10"/>
  <c r="C21" i="10"/>
  <c r="H20" i="10" s="1"/>
  <c r="C30" i="9"/>
  <c r="H29" i="9"/>
  <c r="C27" i="9"/>
  <c r="H26" i="9" s="1"/>
  <c r="C24" i="9"/>
  <c r="H23" i="9" s="1"/>
  <c r="C21" i="9"/>
  <c r="H20" i="9"/>
  <c r="C30" i="8"/>
  <c r="H29" i="8" s="1"/>
  <c r="C27" i="8"/>
  <c r="H26" i="8" s="1"/>
  <c r="C24" i="8"/>
  <c r="H23" i="8" s="1"/>
  <c r="C21" i="8"/>
  <c r="H20" i="8" s="1"/>
  <c r="C30" i="7"/>
  <c r="H29" i="7" s="1"/>
  <c r="C27" i="7"/>
  <c r="H26" i="7" s="1"/>
  <c r="C24" i="7"/>
  <c r="H23" i="7" s="1"/>
  <c r="C21" i="7"/>
  <c r="H20" i="7" s="1"/>
  <c r="C30" i="6"/>
  <c r="H29" i="6"/>
  <c r="C27" i="6"/>
  <c r="H26" i="6" s="1"/>
  <c r="C24" i="6"/>
  <c r="H23" i="6" s="1"/>
  <c r="C21" i="6"/>
  <c r="H20" i="6"/>
  <c r="C30" i="5"/>
  <c r="H29" i="5"/>
  <c r="C27" i="5"/>
  <c r="H26" i="5" s="1"/>
  <c r="C24" i="5"/>
  <c r="H23" i="5" s="1"/>
  <c r="C21" i="5"/>
  <c r="H20" i="5"/>
  <c r="C30" i="4"/>
  <c r="H29" i="4"/>
  <c r="C27" i="4"/>
  <c r="H26" i="4" s="1"/>
  <c r="C24" i="4"/>
  <c r="H23" i="4" s="1"/>
  <c r="C21" i="4"/>
  <c r="H20" i="4" s="1"/>
  <c r="C30" i="3"/>
  <c r="H29" i="3"/>
  <c r="C27" i="3"/>
  <c r="H26" i="3" s="1"/>
  <c r="C24" i="3"/>
  <c r="H23" i="3"/>
  <c r="C21" i="3"/>
  <c r="H20" i="3" s="1"/>
  <c r="C21" i="1" l="1"/>
  <c r="H20" i="1" s="1"/>
  <c r="C30" i="1" l="1"/>
  <c r="H29" i="1" s="1"/>
  <c r="C27" i="1"/>
  <c r="H26" i="1" s="1"/>
  <c r="C24" i="1"/>
  <c r="H23" i="1" s="1"/>
</calcChain>
</file>

<file path=xl/sharedStrings.xml><?xml version="1.0" encoding="utf-8"?>
<sst xmlns="http://schemas.openxmlformats.org/spreadsheetml/2006/main" count="756" uniqueCount="69">
  <si>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</si>
  <si>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</si>
  <si>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</si>
  <si>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</si>
  <si>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</si>
  <si>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</si>
  <si>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</si>
  <si>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</si>
  <si>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</si>
  <si>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</si>
  <si>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</si>
  <si>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</si>
  <si>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</si>
  <si>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</si>
  <si>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</si>
  <si>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</si>
  <si>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</si>
  <si>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</si>
  <si>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</si>
  <si>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</si>
  <si>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</si>
  <si>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</si>
  <si>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</si>
  <si>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</si>
  <si>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</si>
  <si>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</si>
  <si>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</si>
  <si>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</si>
  <si>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</si>
  <si>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</si>
  <si>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</si>
  <si>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</si>
  <si>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</si>
  <si>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</si>
  <si>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</si>
  <si>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</si>
  <si>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</si>
  <si>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</si>
  <si>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</si>
  <si>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</si>
  <si>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</si>
  <si>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</si>
  <si>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</si>
  <si>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</si>
  <si>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</si>
  <si>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</si>
  <si>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</si>
  <si>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</si>
  <si>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</si>
  <si>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</si>
  <si>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</si>
  <si>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</si>
  <si>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</si>
  <si>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</si>
  <si>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</si>
  <si>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</si>
  <si>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</si>
  <si>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</si>
  <si>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</si>
  <si>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</si>
  <si>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</si>
  <si>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</si>
  <si>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</si>
  <si>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As : HC 16350373 - 2</t>
  </si>
  <si>
    <t>Hg : HC 15161426 - 2</t>
  </si>
  <si>
    <t>Pb : HC 14813176 - 2</t>
  </si>
  <si>
    <t>Cd : HC 28942277 - 2</t>
  </si>
  <si>
    <t>300524</t>
  </si>
  <si>
    <t>AMIR           30/05/2024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</si>
</sst>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7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64" fontId="3" fillId="0" borderId="0" xfId="0" applyNumberFormat="1" applyFont="1" applyAlignment="1">
      <alignment horizontal="center"/>
    </xf>
    <xf numFmtId="1" fontId="3" fillId="0" borderId="8" xfId="0" applyNumberFormat="1" applyFont="1" applyBorder="1" applyAlignment="1">
      <alignment horizontal="center"/>
    </xf>
    <xf numFmtId="0" fontId="3" fillId="0" borderId="8" xfId="0" applyFont="1" applyBorder="1"/>
    <xf numFmtId="0" fontId="3" fillId="0" borderId="7" xfId="0" applyFont="1" applyBorder="1" applyAlignment="1">
      <alignment horizontal="right" wrapText="1"/>
    </xf>
    <xf numFmtId="166" fontId="6" fillId="0" borderId="8" xfId="0" applyNumberFormat="1" applyFont="1" applyBorder="1"/>
    <xf numFmtId="1" fontId="3" fillId="0" borderId="8" xfId="0" applyNumberFormat="1" applyFont="1" applyBorder="1" applyAlignment="1">
      <alignment horizontal="center" vertical="center"/>
    </xf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3" fillId="4" borderId="0" xfId="0" applyNumberFormat="1" applyFont="1" applyFill="1"/>
    <xf numFmtId="1" fontId="3" fillId="0" borderId="0" xfId="0" applyNumberFormat="1" applyFont="1" applyAlignment="1">
      <alignment wrapText="1"/>
    </xf>
    <xf numFmtId="0" fontId="0" fillId="0" borderId="0" xfId="0" applyFont="1" applyAlignment="1"/>
    <xf numFmtId="0" fontId="1" fillId="0" borderId="7" xfId="0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164" fontId="3" fillId="0" borderId="4" xfId="0" applyNumberFormat="1" applyFont="1" applyBorder="1" applyAlignment="1">
      <alignment horizontal="center" wrapText="1"/>
    </xf>
    <xf numFmtId="164" fontId="3" fillId="0" borderId="5" xfId="0" applyNumberFormat="1" applyFont="1" applyBorder="1" applyAlignment="1">
      <alignment horizontal="center" wrapText="1"/>
    </xf>
    <xf numFmtId="164" fontId="3" fillId="0" borderId="6" xfId="0" applyNumberFormat="1" applyFont="1" applyBorder="1" applyAlignment="1">
      <alignment horizontal="center" wrapText="1"/>
    </xf>
    <xf numFmtId="164" fontId="3" fillId="0" borderId="11" xfId="0" applyNumberFormat="1" applyFont="1" applyBorder="1" applyAlignment="1">
      <alignment horizontal="center" wrapText="1"/>
    </xf>
    <xf numFmtId="164" fontId="3" fillId="0" borderId="9" xfId="0" applyNumberFormat="1" applyFont="1" applyBorder="1" applyAlignment="1">
      <alignment horizontal="center" wrapText="1"/>
    </xf>
    <xf numFmtId="164" fontId="3" fillId="0" borderId="10" xfId="0" applyNumberFormat="1" applyFont="1" applyBorder="1" applyAlignment="1">
      <alignment horizont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1" fillId="0" borderId="1" xfId="0" applyNumberFormat="1" applyFont="1" applyBorder="1" applyAlignment="1">
      <alignment horizontal="center"/>
    </xf>
    <xf numFmtId="0" fontId="2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167" fontId="4" fillId="0" borderId="0" xfId="0" applyNumberFormat="1" applyFont="1" applyAlignment="1">
      <alignment horizontal="center" wrapText="1"/>
    </xf>
    <xf numFmtId="167" fontId="2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3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3" fillId="0" borderId="4" xfId="0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1" fillId="3" borderId="1" xfId="0" applyFont="1" applyFill="1" applyBorder="1" applyAlignment="1">
      <alignment horizontal="center"/>
    </xf>
    <xf numFmtId="0" fontId="3" fillId="0" borderId="5" xfId="0" applyFont="1" applyBorder="1" applyAlignment="1">
      <alignment horizontal="center"/>
    </xf>
    <xf numFmtId="165" fontId="1" fillId="0" borderId="4" xfId="0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1" fontId="3" fillId="0" borderId="9" xfId="0" applyNumberFormat="1" applyFont="1" applyBorder="1" applyAlignment="1">
      <alignment wrapText="1"/>
    </xf>
    <xf numFmtId="167" fontId="4" fillId="0" borderId="9" xfId="0" applyNumberFormat="1" applyFont="1" applyBorder="1" applyAlignment="1">
      <alignment horizontal="center" wrapText="1"/>
    </xf>
    <xf numFmtId="167" fontId="2" fillId="0" borderId="10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customschemas.google.com/relationships/workbookmetadata" Target="meta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7A4F88A4-BACE-4E12-BCB2-17310C1F05B1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B3450CD5-81F3-4CB8-9C88-AA0101653143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C52D5E5E-9CB5-46DA-9913-371B1A287A03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9456F33-7E1F-4F83-8618-F6E623908DF5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33A14507-784B-43D3-9C7C-FC1C0F684647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1F496B52-2403-4B7C-AD06-279AF6FA141E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B8B9E128-A3BF-4DEA-ACB8-950CC0EBB761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D3E5BDCA-983C-4B3D-B910-C0456BAD2486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6F19527-8A75-45CB-9DF3-3E38856A40DC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DDF3AB9B-03BF-42F1-B601-9556FFB47FBE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B6154495-D2C0-42BC-817F-34C813A67F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8A16CC56-CD56-4FD2-A66D-3F175B6D48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EA6944EC-6BD8-4535-9334-AFB22B4918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9641D8D4-5E00-49EB-9321-B0690FDB96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5604E773-DFEF-4E1E-880E-008F1DCCD1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B655DF7C-3412-4630-90FC-237292C08D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FC36C531-F94F-4AB0-8116-4598A8C519C9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214AC6D3-D7A2-45CC-A5C0-18B2244E0E17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2C1DB1BB-F273-4D6D-9E5C-8E08492F5505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B497D9-CAD8-4435-BC89-70AA6B789D08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328ED8DC-5459-40AF-9570-923AC23C372E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72DEAD65-5177-4F9D-BFA8-49B339014218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5C191E5F-6470-4FF2-98B1-EB5F47D97423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74267675-8E13-4280-AAFE-AE10538B263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40FB4296-8B49-4349-B86F-5E8C22DD2DA5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3366374E-50F1-44D8-B702-929EF59EF3B9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A7A2C112-5BFA-4E40-AD25-BA1EF73EB6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7B048557-C1DB-43B1-B5A8-5539766B66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7D5ABDD0-7275-42F5-A3E1-BB0956A563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9C5F4225-2B06-4544-8E62-C293AC86FF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9E86387C-CE3F-4B7C-A22D-B2766A3146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FFA79DA8-ECA4-40F1-A4E9-9AF0936C2D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D2BC4050-4A04-486D-B6A5-5C7F6D77274E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4F39B569-6F54-46AD-BCB6-98A0FCA185A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AE66EB92-12B3-40E6-B4CB-D086DC1FC83C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BCC12376-60B5-4004-9EE3-0FBABF183F9B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1BFF5F2-E32B-4F4E-952B-1D39ABE0F55C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34A7ADD-ED29-4085-9F53-CFE30C29462B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D02CDBB8-939C-4C5E-9C37-6003861EBEAD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A937F1D6-D825-4DE3-B532-67EC758D8169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AF27BC46-61F9-4AC1-BCA4-3DA96040B95E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F5548E97-3B6F-4567-95B0-39B0A58F3665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F00CDF30-AF11-425E-A7B8-4BA8B712F6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5F30484E-2F45-40AC-B68A-3F3086CA49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50A792DD-1223-4008-95A3-0B3E89B326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49DDC9B8-DA53-4E60-A87A-CAEB6F1BC3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BFAC4200-9159-496C-B775-CAE4934EB6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A15F675-7373-45A1-885B-44A9691C3F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BDBEF2A2-1025-4784-994B-0D56E5C04D5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29D77007-42A9-4563-BBA8-4C755D743E96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892291AA-591A-47F1-B13B-C7942668E19E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2FB33C21-58E2-4AEC-927E-D6F6676DAF25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A5395715-30F6-4F22-A7E2-A921328CF837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6DA3EB0D-F689-48C9-8A53-8974CA1A1AE7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38E05BAF-8C39-4221-A551-C36A535ED12D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625C0EBF-2766-4381-8319-8A85A860925C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F852A7DB-759E-4CF9-ACA3-D59BCFF148C6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A64AEA2D-723F-48FA-BFCC-5F214CBB0064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93F15335-1A7C-47D6-B1B0-3127D7FD5D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31B75013-EB2B-443A-87E7-F2510E6211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FC0CB45B-964C-4133-99AC-03B5975F0A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A9DBD3E0-43E5-4BA9-A295-110893A79B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62BA502-7799-4F6C-B53B-4EEC34550E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8BB295FC-86DB-4962-9618-B245375F5A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E480B810-BEFE-43D1-8D2A-F6DBAF90FD7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2C7B97B-A539-4602-948F-DC803CFA5C6E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70BE0D93-043F-4C32-805E-3EC8A4ADDEB9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62AF0BC3-1CCC-4993-AF15-03700DF4C6A8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9CC501AC-520C-4E16-9ECE-6DA9B9D9D99D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ECBB6461-DE7E-48E4-9ABC-CED15D1D69E1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ED36A74-E9F4-459E-A303-5445CDEC06E2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E24546BC-B34D-453B-B2BB-6B3F0386A7B1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A25EE067-1480-4A6A-A640-5EDF5F4746B9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C7A2C6E9-740E-4E78-A8EF-94B46E48FE55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677F7DB8-7D6A-4AE9-856D-9D7AA2C62E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A77952DF-829D-481A-9013-4B6FE43D35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AE6135B7-C08E-4E8C-B7ED-5926F3BDB3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5805EF50-DEC7-4821-A521-697268EFD8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4A029D6E-3A1E-4D5F-9166-06232F74B6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6150" name="Check Box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367D1802-FD20-4B02-903E-0463D043E1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351DBB7E-0ADE-40EE-B8E9-F01750E428B6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F138A8A1-A602-44AA-89E9-99E3F8B782BC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484C744E-5240-42E1-880C-854AF7D0FCCD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EAC29F5C-76B0-4059-8B82-86F1240438E5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E1DE2670-BB6A-4675-B3BB-0206CC05A056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A631993C-1A66-48CE-A9B5-214B8EFBE774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551AC186-6E7E-451E-B5D1-EDC43E0A651A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9D06F6A6-ACB5-42E8-A006-41957A799E39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9D13641F-5062-48AA-96F6-F97D9D58FBD1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192AEDCC-E2A5-4DF3-9F5C-7187EEC04066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6A010EE9-2EB3-4012-BE8D-B2B8918C23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2EA7B314-D508-4848-A525-783A497B43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9F2ADE95-6E88-4D27-A945-59F056E6DC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7172" name="Check Box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342910B4-61AA-48BC-A5A1-E17C971684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7173" name="Check Box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4F8C75CF-BEB7-4B87-96AD-C7E4DA0EAC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7174" name="Check Box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7B44C00D-9319-47CF-8BB7-248FAF5D9F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4E0CDB94-3440-4391-B00E-1F87EB0D6D51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D9DECEC4-9F64-4F9E-8DED-AB20707DC39B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ED242181-5CCA-4F65-B551-BE4D9ACE9B24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8AA2EED1-8208-4C77-9B3C-AC0CD141FAE9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8D7A885D-43DF-42E3-9187-1C9F38C14DF8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D0E58DA8-14B5-48C4-9192-83A878915D58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26AD9AAF-D911-4897-865E-98DE44B0E6EB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365B3D31-5827-4278-8BBA-9347A4B173FB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9A4D1693-015B-4974-AFFE-C6987B93BBFF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80D7F118-E15E-4FB9-B6E7-6D6C783FF787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A102EBBF-294F-4AF1-AF48-1AF4BC258D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3D646801-89DF-402B-976E-BFB5092280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AAB4D0E3-5F9E-4B25-A078-6AB42E6918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8196" name="Check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4D923B95-870E-4471-97BF-27FDBFEA27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8197" name="Check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39A76799-6D28-4333-BC0B-7B94A19705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8198" name="Check Box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E7842078-065D-42FF-AEC8-D06A4FDCEF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9ED518C0-E357-46ED-93A3-30342AC53519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9ACD9EAD-F5DC-4082-BA98-ABC8F8696E2E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D698317C-6539-40CD-B24D-127EA254534C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EE81E14C-F947-427F-BC25-BE911DC5181E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95F0EC41-8A4D-4FB0-9499-021C8542B7A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34D52201-794C-4570-8445-E13B829181BE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F3235E0A-D091-44E8-BC2F-0453E09C49B6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CF2ED4D2-7D6B-4772-9419-B313558121C3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457EF555-84BB-43C9-9B23-B964B339DAE6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8D13AE99-67DC-4F46-A78A-83960F4E4E92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2BEB3E59-0C8C-450B-AE2F-18BF8002BB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8C72E47B-46D9-48BF-9E45-731CB3E2D4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B02EB328-73CF-4469-A6BC-5B9D312FF3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DE35CB80-16F3-4013-B90C-58B412AA3E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9221" name="Check Box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D52B701A-D2F9-44B9-A7D4-C245AF42BC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9222" name="Check Box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A8A63C20-988C-43B5-8113-1D6BD1F0A0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zoomScale="112" zoomScaleNormal="100" zoomScalePageLayoutView="112" workbookViewId="0">
      <selection activeCell="D3" sqref="D3:J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5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53"/>
    </row>
    <row r="3" spans="1:26" ht="15" customHeight="1" x14ac:dyDescent="0.25">
      <c r="A3" s="73" t="s">
        <v>2</v>
      </c>
      <c r="B3" s="72"/>
      <c r="C3" s="53"/>
      <c r="D3" s="74">
        <v>2024050017</v>
      </c>
      <c r="E3" s="72"/>
      <c r="F3" s="72"/>
      <c r="G3" s="72"/>
      <c r="H3" s="72"/>
      <c r="I3" s="72"/>
      <c r="J3" s="53"/>
    </row>
    <row r="4" spans="1:26" ht="15" customHeight="1" x14ac:dyDescent="0.25">
      <c r="A4" s="73" t="s">
        <v>3</v>
      </c>
      <c r="B4" s="72"/>
      <c r="C4" s="53"/>
      <c r="D4" s="75" t="s">
        <v>67</v>
      </c>
      <c r="E4" s="76"/>
      <c r="F4" s="76"/>
      <c r="G4" s="76"/>
      <c r="H4" s="76"/>
      <c r="I4" s="76"/>
      <c r="J4" s="77"/>
    </row>
    <row r="5" spans="1:26" ht="15" customHeight="1" x14ac:dyDescent="0.25">
      <c r="A5" s="78" t="s">
        <v>4</v>
      </c>
      <c r="B5" s="72"/>
      <c r="C5" s="72"/>
      <c r="D5" s="72"/>
      <c r="E5" s="72"/>
      <c r="F5" s="72"/>
      <c r="G5" s="72"/>
      <c r="H5" s="72"/>
      <c r="I5" s="72"/>
      <c r="J5" s="5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8" t="s">
        <v>5</v>
      </c>
      <c r="B6" s="72"/>
      <c r="C6" s="72"/>
      <c r="D6" s="72"/>
      <c r="E6" s="72"/>
      <c r="F6" s="72"/>
      <c r="G6" s="72"/>
      <c r="H6" s="72"/>
      <c r="I6" s="72"/>
      <c r="J6" s="53"/>
    </row>
    <row r="7" spans="1:26" ht="30" customHeight="1" x14ac:dyDescent="0.25">
      <c r="A7" s="79" t="s">
        <v>6</v>
      </c>
      <c r="B7" s="49"/>
      <c r="C7" s="80" t="s">
        <v>7</v>
      </c>
      <c r="D7" s="49"/>
      <c r="E7" s="49"/>
      <c r="F7" s="2" t="s">
        <v>8</v>
      </c>
      <c r="G7" s="69" t="s">
        <v>9</v>
      </c>
      <c r="H7" s="49"/>
      <c r="I7" s="49"/>
      <c r="J7" s="59"/>
    </row>
    <row r="8" spans="1:26" ht="15" customHeight="1" x14ac:dyDescent="0.25">
      <c r="A8" s="61" t="s">
        <v>10</v>
      </c>
      <c r="B8" s="56"/>
      <c r="C8" s="62" t="s">
        <v>11</v>
      </c>
      <c r="D8" s="56"/>
      <c r="E8" s="4"/>
      <c r="F8" s="5" t="s">
        <v>12</v>
      </c>
      <c r="G8" s="6" t="s">
        <v>13</v>
      </c>
      <c r="H8" s="6" t="s">
        <v>14</v>
      </c>
      <c r="I8" s="70"/>
      <c r="J8" s="57"/>
    </row>
    <row r="9" spans="1:26" ht="30" customHeight="1" x14ac:dyDescent="0.25">
      <c r="A9" s="61" t="s">
        <v>15</v>
      </c>
      <c r="B9" s="56"/>
      <c r="C9" s="62" t="s">
        <v>16</v>
      </c>
      <c r="D9" s="56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1" t="s">
        <v>20</v>
      </c>
      <c r="B10" s="56"/>
      <c r="C10" s="62" t="s">
        <v>21</v>
      </c>
      <c r="D10" s="56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1" t="s">
        <v>25</v>
      </c>
      <c r="B11" s="56"/>
      <c r="C11" s="62" t="s">
        <v>26</v>
      </c>
      <c r="D11" s="56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1" t="s">
        <v>30</v>
      </c>
      <c r="B12" s="56"/>
      <c r="C12" s="62" t="s">
        <v>31</v>
      </c>
      <c r="D12" s="56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customHeight="1" x14ac:dyDescent="0.25">
      <c r="A13" s="61" t="s">
        <v>35</v>
      </c>
      <c r="B13" s="56"/>
      <c r="C13" s="62" t="s">
        <v>36</v>
      </c>
      <c r="D13" s="56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1" t="s">
        <v>40</v>
      </c>
      <c r="B14" s="56"/>
      <c r="C14" s="62" t="s">
        <v>41</v>
      </c>
      <c r="D14" s="56"/>
      <c r="E14" s="7"/>
      <c r="F14" s="68" t="s">
        <v>42</v>
      </c>
      <c r="G14" s="56"/>
      <c r="H14" s="56"/>
      <c r="I14" s="67" t="s">
        <v>43</v>
      </c>
      <c r="J14" s="57"/>
    </row>
    <row r="15" spans="1:26" ht="15" customHeight="1" x14ac:dyDescent="0.25">
      <c r="A15" s="61" t="s">
        <v>44</v>
      </c>
      <c r="B15" s="56"/>
      <c r="C15" s="62" t="s">
        <v>45</v>
      </c>
      <c r="D15" s="56"/>
      <c r="E15" s="7"/>
      <c r="F15" s="62" t="s">
        <v>63</v>
      </c>
      <c r="G15" s="56"/>
      <c r="H15" s="56"/>
      <c r="I15" s="63">
        <v>45808</v>
      </c>
      <c r="J15" s="64"/>
    </row>
    <row r="16" spans="1:26" ht="15" customHeight="1" x14ac:dyDescent="0.25">
      <c r="A16" s="61" t="s">
        <v>46</v>
      </c>
      <c r="B16" s="56"/>
      <c r="C16" s="65" t="s">
        <v>47</v>
      </c>
      <c r="D16" s="56"/>
      <c r="E16" s="56"/>
      <c r="F16" s="66" t="s">
        <v>64</v>
      </c>
      <c r="G16" s="56"/>
      <c r="H16" s="56"/>
      <c r="I16" s="63">
        <v>45716</v>
      </c>
      <c r="J16" s="64"/>
    </row>
    <row r="17" spans="1:26" ht="15" customHeight="1" x14ac:dyDescent="0.25">
      <c r="A17" s="3"/>
      <c r="B17" s="2"/>
      <c r="C17" s="13"/>
      <c r="D17" s="13"/>
      <c r="E17" s="13"/>
      <c r="F17" s="66" t="s">
        <v>65</v>
      </c>
      <c r="G17" s="56"/>
      <c r="H17" s="56"/>
      <c r="I17" s="63">
        <v>45688</v>
      </c>
      <c r="J17" s="6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9" t="s">
        <v>66</v>
      </c>
      <c r="G18" s="51"/>
      <c r="H18" s="51"/>
      <c r="I18" s="90">
        <v>46142</v>
      </c>
      <c r="J18" s="91"/>
    </row>
    <row r="19" spans="1:26" x14ac:dyDescent="0.25">
      <c r="A19" s="85" t="s">
        <v>48</v>
      </c>
      <c r="B19" s="72"/>
      <c r="C19" s="72"/>
      <c r="D19" s="72"/>
      <c r="E19" s="72"/>
      <c r="F19" s="72"/>
      <c r="G19" s="72"/>
      <c r="H19" s="72"/>
      <c r="I19" s="72"/>
      <c r="J19" s="53"/>
    </row>
    <row r="20" spans="1:26" ht="26.25" customHeight="1" x14ac:dyDescent="0.25">
      <c r="A20" s="84" t="s">
        <v>49</v>
      </c>
      <c r="B20" s="49"/>
      <c r="C20" s="35">
        <v>178.95500000000001</v>
      </c>
      <c r="D20" s="16" t="s">
        <v>50</v>
      </c>
      <c r="E20" s="17">
        <v>1000</v>
      </c>
      <c r="F20" s="81" t="s">
        <v>51</v>
      </c>
      <c r="G20" s="49"/>
      <c r="H20" s="82">
        <f>IF(AND(C21&lt;0.15),"&lt;0.15",C21)</f>
        <v>0.178955</v>
      </c>
      <c r="I20" s="72"/>
      <c r="J20" s="18" t="s">
        <v>52</v>
      </c>
    </row>
    <row r="21" spans="1:26" ht="15.75" customHeight="1" x14ac:dyDescent="0.25">
      <c r="A21" s="19" t="s">
        <v>53</v>
      </c>
      <c r="B21" s="1"/>
      <c r="C21" s="52">
        <f>C20/1000</f>
        <v>0.178955</v>
      </c>
      <c r="D21" s="53"/>
      <c r="E21" s="20"/>
      <c r="F21" s="1"/>
      <c r="G21" s="1"/>
      <c r="H21" s="1"/>
      <c r="I21" s="1"/>
      <c r="J21" s="18"/>
    </row>
    <row r="22" spans="1:26" ht="15.75" customHeight="1" x14ac:dyDescent="0.25">
      <c r="A22" s="85" t="s">
        <v>56</v>
      </c>
      <c r="B22" s="72"/>
      <c r="C22" s="72"/>
      <c r="D22" s="72"/>
      <c r="E22" s="72"/>
      <c r="F22" s="72"/>
      <c r="G22" s="72"/>
      <c r="H22" s="72"/>
      <c r="I22" s="72"/>
      <c r="J22" s="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4" t="s">
        <v>49</v>
      </c>
      <c r="B23" s="49"/>
      <c r="C23" s="35">
        <v>80.754999999999995</v>
      </c>
      <c r="D23" s="16" t="s">
        <v>50</v>
      </c>
      <c r="E23" s="21">
        <v>1000</v>
      </c>
      <c r="F23" s="81" t="s">
        <v>51</v>
      </c>
      <c r="G23" s="49"/>
      <c r="H23" s="82" t="str">
        <f>IF(AND(C24&lt;0.15),"&lt;0.15",C24)</f>
        <v>&lt;0.15</v>
      </c>
      <c r="I23" s="72"/>
      <c r="J23" s="18" t="s">
        <v>52</v>
      </c>
    </row>
    <row r="24" spans="1:26" ht="15.75" customHeight="1" x14ac:dyDescent="0.25">
      <c r="A24" s="19" t="s">
        <v>53</v>
      </c>
      <c r="B24" s="1"/>
      <c r="C24" s="52">
        <f>C23/1000</f>
        <v>8.0754999999999993E-2</v>
      </c>
      <c r="D24" s="53"/>
      <c r="E24" s="20"/>
      <c r="F24" s="1"/>
      <c r="G24" s="1"/>
      <c r="H24" s="1"/>
      <c r="I24" s="1"/>
      <c r="J24" s="18"/>
    </row>
    <row r="25" spans="1:26" ht="15.75" customHeight="1" x14ac:dyDescent="0.25">
      <c r="A25" s="85" t="s">
        <v>54</v>
      </c>
      <c r="B25" s="72"/>
      <c r="C25" s="72"/>
      <c r="D25" s="72"/>
      <c r="E25" s="72"/>
      <c r="F25" s="72"/>
      <c r="G25" s="72"/>
      <c r="H25" s="72"/>
      <c r="I25" s="72"/>
      <c r="J25" s="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83" t="s">
        <v>49</v>
      </c>
      <c r="B26" s="56"/>
      <c r="C26" s="35">
        <v>21.541</v>
      </c>
      <c r="D26" s="16" t="s">
        <v>50</v>
      </c>
      <c r="E26" s="21">
        <v>1000</v>
      </c>
      <c r="F26" s="86" t="s">
        <v>51</v>
      </c>
      <c r="G26" s="49"/>
      <c r="H26" s="82" t="str">
        <f>IF(AND(C27&lt;0.15),"&lt;0.15",C27)</f>
        <v>&lt;0.15</v>
      </c>
      <c r="I26" s="72"/>
      <c r="J26" s="22" t="s">
        <v>52</v>
      </c>
    </row>
    <row r="27" spans="1:26" ht="15.75" customHeight="1" x14ac:dyDescent="0.25">
      <c r="A27" s="19" t="s">
        <v>53</v>
      </c>
      <c r="B27" s="1"/>
      <c r="C27" s="87">
        <f>C26/1000</f>
        <v>2.1541000000000001E-2</v>
      </c>
      <c r="D27" s="59"/>
      <c r="E27" s="20"/>
      <c r="F27" s="1"/>
      <c r="G27" s="1"/>
      <c r="H27" s="1"/>
      <c r="I27" s="1"/>
      <c r="J27" s="18"/>
    </row>
    <row r="28" spans="1:26" ht="15.75" customHeight="1" x14ac:dyDescent="0.25">
      <c r="A28" s="85" t="s">
        <v>55</v>
      </c>
      <c r="B28" s="72"/>
      <c r="C28" s="72"/>
      <c r="D28" s="72"/>
      <c r="E28" s="72"/>
      <c r="F28" s="72"/>
      <c r="G28" s="72"/>
      <c r="H28" s="72"/>
      <c r="I28" s="72"/>
      <c r="J28" s="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83" t="s">
        <v>49</v>
      </c>
      <c r="B29" s="56"/>
      <c r="C29" s="35">
        <v>973.12699999999995</v>
      </c>
      <c r="D29" s="16" t="s">
        <v>50</v>
      </c>
      <c r="E29" s="21">
        <v>1000</v>
      </c>
      <c r="F29" s="88" t="s">
        <v>51</v>
      </c>
      <c r="G29" s="56"/>
      <c r="H29" s="82">
        <f>IF(AND(C30&lt;0.15),"&lt;0.15",C30)</f>
        <v>0.97312699999999996</v>
      </c>
      <c r="I29" s="72"/>
      <c r="J29" s="18" t="s">
        <v>52</v>
      </c>
    </row>
    <row r="30" spans="1:26" ht="15.75" customHeight="1" x14ac:dyDescent="0.25">
      <c r="A30" s="19" t="s">
        <v>53</v>
      </c>
      <c r="B30" s="1"/>
      <c r="C30" s="52">
        <f>C29/1000</f>
        <v>0.97312699999999996</v>
      </c>
      <c r="D30" s="53"/>
      <c r="E30" s="20"/>
      <c r="F30" s="1"/>
      <c r="G30" s="1"/>
      <c r="H30" s="1"/>
      <c r="I30" s="1"/>
      <c r="J30" s="18"/>
    </row>
    <row r="31" spans="1:26" ht="15.75" customHeight="1" x14ac:dyDescent="0.25">
      <c r="A31" s="54" t="s">
        <v>57</v>
      </c>
      <c r="B31" s="49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55" t="s">
        <v>59</v>
      </c>
      <c r="C32" s="56"/>
      <c r="D32" s="56"/>
      <c r="E32" s="57"/>
      <c r="F32" s="1"/>
      <c r="G32" s="1"/>
      <c r="H32" s="1"/>
      <c r="I32" s="1"/>
      <c r="J32" s="18"/>
    </row>
    <row r="33" spans="1:26" ht="15.75" customHeight="1" x14ac:dyDescent="0.25">
      <c r="A33" s="26"/>
      <c r="B33" s="56"/>
      <c r="C33" s="56"/>
      <c r="D33" s="56"/>
      <c r="E33" s="57"/>
      <c r="F33" s="27"/>
      <c r="G33" s="1"/>
      <c r="H33" s="1"/>
      <c r="I33" s="1"/>
      <c r="J33" s="18"/>
    </row>
    <row r="34" spans="1:26" ht="15.75" customHeight="1" x14ac:dyDescent="0.25">
      <c r="A34" s="28"/>
      <c r="B34" s="55" t="s">
        <v>60</v>
      </c>
      <c r="C34" s="56"/>
      <c r="D34" s="56"/>
      <c r="E34" s="57"/>
      <c r="F34" s="1"/>
      <c r="G34" s="1"/>
      <c r="H34" s="1"/>
      <c r="I34" s="1"/>
      <c r="J34" s="18"/>
    </row>
    <row r="35" spans="1:26" ht="15.75" customHeight="1" x14ac:dyDescent="0.25">
      <c r="A35" s="28"/>
      <c r="B35" s="56"/>
      <c r="C35" s="56"/>
      <c r="D35" s="56"/>
      <c r="E35" s="57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8" t="s">
        <v>61</v>
      </c>
      <c r="B38" s="49"/>
      <c r="C38" s="49"/>
      <c r="D38" s="49"/>
      <c r="E38" s="59"/>
      <c r="F38" s="42" t="s">
        <v>68</v>
      </c>
      <c r="G38" s="43"/>
      <c r="H38" s="43"/>
      <c r="I38" s="43"/>
      <c r="J38" s="44"/>
    </row>
    <row r="39" spans="1:26" ht="11.25" customHeight="1" x14ac:dyDescent="0.25">
      <c r="A39" s="50"/>
      <c r="B39" s="51"/>
      <c r="C39" s="51"/>
      <c r="D39" s="51"/>
      <c r="E39" s="60"/>
      <c r="F39" s="45"/>
      <c r="G39" s="46"/>
      <c r="H39" s="46"/>
      <c r="I39" s="46"/>
      <c r="J39" s="47"/>
    </row>
    <row r="40" spans="1:26" ht="15.75" customHeight="1" x14ac:dyDescent="0.25">
      <c r="A40" s="48" t="s">
        <v>62</v>
      </c>
      <c r="B40" s="49"/>
      <c r="C40" s="49"/>
      <c r="D40" s="49"/>
      <c r="E40" s="49"/>
      <c r="F40" s="33"/>
      <c r="G40" s="29"/>
      <c r="H40" s="29"/>
      <c r="I40" s="29"/>
      <c r="J40" s="18"/>
    </row>
    <row r="41" spans="1:26" ht="11.25" customHeight="1" x14ac:dyDescent="0.25">
      <c r="A41" s="50"/>
      <c r="B41" s="51"/>
      <c r="C41" s="51"/>
      <c r="D41" s="51"/>
      <c r="E41" s="5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/>
    <row r="45" spans="1:26" ht="15.75" customHeight="1" x14ac:dyDescent="0.25"/>
    <row r="46" spans="1:26" ht="15.75" customHeight="1" x14ac:dyDescent="0.25"/>
    <row r="47" spans="1:26" ht="15.75" customHeight="1" x14ac:dyDescent="0.25"/>
    <row r="48" spans="1:26" ht="15.75" customHeight="1" x14ac:dyDescent="0.25"/>
    <row r="49" ht="15.75" customHeight="1" x14ac:dyDescent="0.25"/>
    <row r="50" ht="28.5" customHeight="1" x14ac:dyDescent="0.25"/>
    <row r="51" ht="15.75" customHeight="1" x14ac:dyDescent="0.25"/>
    <row r="52" ht="15.75" customHeight="1" x14ac:dyDescent="0.25"/>
    <row r="53" ht="15.75" customHeight="1" x14ac:dyDescent="0.25"/>
    <row r="54" ht="31.5" customHeight="1" x14ac:dyDescent="0.25"/>
    <row r="55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spans="1:1" ht="15.75" customHeight="1" x14ac:dyDescent="0.25"/>
    <row r="242" spans="1:1" ht="15.75" customHeight="1" x14ac:dyDescent="0.25"/>
    <row r="243" spans="1:1" ht="15.75" customHeight="1" x14ac:dyDescent="0.25"/>
    <row r="244" spans="1:1" ht="15.75" customHeight="1" x14ac:dyDescent="0.25"/>
    <row r="245" spans="1:1" ht="15.75" customHeight="1" x14ac:dyDescent="0.25"/>
    <row r="246" spans="1:1" ht="15.75" customHeight="1" x14ac:dyDescent="0.25"/>
    <row r="247" spans="1:1" ht="15.75" customHeight="1" x14ac:dyDescent="0.25"/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F38:J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B9BCD-8644-43A6-ACA3-89C00080C095}">
  <sheetPr codeName="Sheet2"/>
  <dimension ref="A1:Z579"/>
  <sheetViews>
    <sheetView view="pageLayout" topLeftCell="A28" zoomScale="112" zoomScaleNormal="100" zoomScalePageLayoutView="112" workbookViewId="0">
      <selection activeCell="C20" sqref="C20"/>
    </sheetView>
  </sheetViews>
  <sheetFormatPr defaultColWidth="14.42578125" defaultRowHeight="15" customHeight="1" x14ac:dyDescent="0.25"/>
  <cols>
    <col min="1" max="1" width="12.85546875" style="37" customWidth="1"/>
    <col min="2" max="2" width="8" style="37" customWidth="1"/>
    <col min="3" max="3" width="11.28515625" style="37" customWidth="1"/>
    <col min="4" max="4" width="6" style="37" customWidth="1"/>
    <col min="5" max="5" width="6.85546875" style="37" customWidth="1"/>
    <col min="6" max="6" width="12.140625" style="37" customWidth="1"/>
    <col min="7" max="7" width="10" style="37" customWidth="1"/>
    <col min="8" max="8" width="8.5703125" style="37" customWidth="1"/>
    <col min="9" max="9" width="4.5703125" style="37" customWidth="1"/>
    <col min="10" max="10" width="6.7109375" style="37" customWidth="1"/>
    <col min="11" max="11" width="8" style="37" customWidth="1"/>
    <col min="12" max="16384" width="14.42578125" style="37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5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53"/>
    </row>
    <row r="3" spans="1:26" ht="15" customHeight="1" x14ac:dyDescent="0.25">
      <c r="A3" s="73" t="s">
        <v>2</v>
      </c>
      <c r="B3" s="72"/>
      <c r="C3" s="53"/>
      <c r="D3" s="74">
        <v>2024050018</v>
      </c>
      <c r="E3" s="72"/>
      <c r="F3" s="72"/>
      <c r="G3" s="72"/>
      <c r="H3" s="72"/>
      <c r="I3" s="72"/>
      <c r="J3" s="53"/>
    </row>
    <row r="4" spans="1:26" ht="15" customHeight="1" x14ac:dyDescent="0.25">
      <c r="A4" s="73" t="s">
        <v>3</v>
      </c>
      <c r="B4" s="72"/>
      <c r="C4" s="53"/>
      <c r="D4" s="75" t="s">
        <v>67</v>
      </c>
      <c r="E4" s="76"/>
      <c r="F4" s="76"/>
      <c r="G4" s="76"/>
      <c r="H4" s="76"/>
      <c r="I4" s="76"/>
      <c r="J4" s="77"/>
    </row>
    <row r="5" spans="1:26" ht="15" customHeight="1" x14ac:dyDescent="0.25">
      <c r="A5" s="78" t="s">
        <v>4</v>
      </c>
      <c r="B5" s="72"/>
      <c r="C5" s="72"/>
      <c r="D5" s="72"/>
      <c r="E5" s="72"/>
      <c r="F5" s="72"/>
      <c r="G5" s="72"/>
      <c r="H5" s="72"/>
      <c r="I5" s="72"/>
      <c r="J5" s="5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8" t="s">
        <v>5</v>
      </c>
      <c r="B6" s="72"/>
      <c r="C6" s="72"/>
      <c r="D6" s="72"/>
      <c r="E6" s="72"/>
      <c r="F6" s="72"/>
      <c r="G6" s="72"/>
      <c r="H6" s="72"/>
      <c r="I6" s="72"/>
      <c r="J6" s="53"/>
    </row>
    <row r="7" spans="1:26" ht="30" customHeight="1" x14ac:dyDescent="0.25">
      <c r="A7" s="79" t="s">
        <v>6</v>
      </c>
      <c r="B7" s="49"/>
      <c r="C7" s="80" t="s">
        <v>7</v>
      </c>
      <c r="D7" s="49"/>
      <c r="E7" s="49"/>
      <c r="F7" s="39" t="s">
        <v>8</v>
      </c>
      <c r="G7" s="69" t="s">
        <v>9</v>
      </c>
      <c r="H7" s="49"/>
      <c r="I7" s="49"/>
      <c r="J7" s="59"/>
    </row>
    <row r="8" spans="1:26" ht="15" customHeight="1" x14ac:dyDescent="0.25">
      <c r="A8" s="61" t="s">
        <v>10</v>
      </c>
      <c r="B8" s="56"/>
      <c r="C8" s="62" t="s">
        <v>11</v>
      </c>
      <c r="D8" s="56"/>
      <c r="E8" s="4"/>
      <c r="F8" s="41" t="s">
        <v>12</v>
      </c>
      <c r="G8" s="6" t="s">
        <v>13</v>
      </c>
      <c r="H8" s="6" t="s">
        <v>14</v>
      </c>
      <c r="I8" s="70"/>
      <c r="J8" s="57"/>
    </row>
    <row r="9" spans="1:26" ht="30" customHeight="1" x14ac:dyDescent="0.25">
      <c r="A9" s="61" t="s">
        <v>15</v>
      </c>
      <c r="B9" s="56"/>
      <c r="C9" s="62" t="s">
        <v>16</v>
      </c>
      <c r="D9" s="56"/>
      <c r="E9" s="36"/>
      <c r="F9" s="39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1" t="s">
        <v>20</v>
      </c>
      <c r="B10" s="56"/>
      <c r="C10" s="62" t="s">
        <v>21</v>
      </c>
      <c r="D10" s="56"/>
      <c r="E10" s="36"/>
      <c r="F10" s="39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1" t="s">
        <v>25</v>
      </c>
      <c r="B11" s="56"/>
      <c r="C11" s="62" t="s">
        <v>26</v>
      </c>
      <c r="D11" s="56"/>
      <c r="E11" s="36"/>
      <c r="F11" s="39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1" t="s">
        <v>30</v>
      </c>
      <c r="B12" s="56"/>
      <c r="C12" s="62" t="s">
        <v>31</v>
      </c>
      <c r="D12" s="56"/>
      <c r="E12" s="36"/>
      <c r="F12" s="39" t="s">
        <v>32</v>
      </c>
      <c r="G12" s="8" t="s">
        <v>33</v>
      </c>
      <c r="H12" s="8" t="s">
        <v>34</v>
      </c>
      <c r="I12" s="9"/>
      <c r="J12" s="10"/>
    </row>
    <row r="13" spans="1:26" ht="30" customHeight="1" x14ac:dyDescent="0.25">
      <c r="A13" s="61" t="s">
        <v>35</v>
      </c>
      <c r="B13" s="56"/>
      <c r="C13" s="62" t="s">
        <v>36</v>
      </c>
      <c r="D13" s="56"/>
      <c r="E13" s="36"/>
      <c r="F13" s="39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1" t="s">
        <v>40</v>
      </c>
      <c r="B14" s="56"/>
      <c r="C14" s="62" t="s">
        <v>41</v>
      </c>
      <c r="D14" s="56"/>
      <c r="E14" s="36"/>
      <c r="F14" s="68" t="s">
        <v>42</v>
      </c>
      <c r="G14" s="56"/>
      <c r="H14" s="56"/>
      <c r="I14" s="67" t="s">
        <v>43</v>
      </c>
      <c r="J14" s="57"/>
    </row>
    <row r="15" spans="1:26" ht="15" customHeight="1" x14ac:dyDescent="0.25">
      <c r="A15" s="61" t="s">
        <v>44</v>
      </c>
      <c r="B15" s="56"/>
      <c r="C15" s="62" t="s">
        <v>45</v>
      </c>
      <c r="D15" s="56"/>
      <c r="E15" s="36"/>
      <c r="F15" s="62" t="s">
        <v>63</v>
      </c>
      <c r="G15" s="56"/>
      <c r="H15" s="56"/>
      <c r="I15" s="63">
        <v>45808</v>
      </c>
      <c r="J15" s="64"/>
    </row>
    <row r="16" spans="1:26" ht="15" customHeight="1" x14ac:dyDescent="0.25">
      <c r="A16" s="61" t="s">
        <v>46</v>
      </c>
      <c r="B16" s="56"/>
      <c r="C16" s="65" t="s">
        <v>47</v>
      </c>
      <c r="D16" s="56"/>
      <c r="E16" s="56"/>
      <c r="F16" s="66" t="s">
        <v>64</v>
      </c>
      <c r="G16" s="56"/>
      <c r="H16" s="56"/>
      <c r="I16" s="63">
        <v>45716</v>
      </c>
      <c r="J16" s="64"/>
    </row>
    <row r="17" spans="1:26" ht="15" customHeight="1" x14ac:dyDescent="0.25">
      <c r="A17" s="38"/>
      <c r="B17" s="39"/>
      <c r="C17" s="40"/>
      <c r="D17" s="40"/>
      <c r="E17" s="40"/>
      <c r="F17" s="66" t="s">
        <v>65</v>
      </c>
      <c r="G17" s="56"/>
      <c r="H17" s="56"/>
      <c r="I17" s="63">
        <v>45688</v>
      </c>
      <c r="J17" s="6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9" t="s">
        <v>66</v>
      </c>
      <c r="G18" s="51"/>
      <c r="H18" s="51"/>
      <c r="I18" s="90">
        <v>46142</v>
      </c>
      <c r="J18" s="91"/>
    </row>
    <row r="19" spans="1:26" x14ac:dyDescent="0.25">
      <c r="A19" s="85" t="s">
        <v>48</v>
      </c>
      <c r="B19" s="72"/>
      <c r="C19" s="72"/>
      <c r="D19" s="72"/>
      <c r="E19" s="72"/>
      <c r="F19" s="72"/>
      <c r="G19" s="72"/>
      <c r="H19" s="72"/>
      <c r="I19" s="72"/>
      <c r="J19" s="53"/>
    </row>
    <row r="20" spans="1:26" ht="26.25" customHeight="1" x14ac:dyDescent="0.25">
      <c r="A20" s="84" t="s">
        <v>49</v>
      </c>
      <c r="B20" s="49"/>
      <c r="C20" s="35">
        <v>60.688000000000002</v>
      </c>
      <c r="D20" s="16" t="s">
        <v>50</v>
      </c>
      <c r="E20" s="17">
        <v>1000</v>
      </c>
      <c r="F20" s="81" t="s">
        <v>51</v>
      </c>
      <c r="G20" s="49"/>
      <c r="H20" s="82" t="str">
        <f>IF(AND(C21&lt;0.15),"&lt;0.15",C21)</f>
        <v>&lt;0.15</v>
      </c>
      <c r="I20" s="72"/>
      <c r="J20" s="18" t="s">
        <v>52</v>
      </c>
    </row>
    <row r="21" spans="1:26" ht="15.75" customHeight="1" x14ac:dyDescent="0.25">
      <c r="A21" s="19" t="s">
        <v>53</v>
      </c>
      <c r="B21" s="1"/>
      <c r="C21" s="52">
        <f>C20/1000</f>
        <v>6.0688000000000006E-2</v>
      </c>
      <c r="D21" s="53"/>
      <c r="E21" s="20"/>
      <c r="F21" s="1"/>
      <c r="G21" s="1"/>
      <c r="H21" s="1"/>
      <c r="I21" s="1"/>
      <c r="J21" s="18"/>
    </row>
    <row r="22" spans="1:26" ht="15.75" customHeight="1" x14ac:dyDescent="0.25">
      <c r="A22" s="85" t="s">
        <v>56</v>
      </c>
      <c r="B22" s="72"/>
      <c r="C22" s="72"/>
      <c r="D22" s="72"/>
      <c r="E22" s="72"/>
      <c r="F22" s="72"/>
      <c r="G22" s="72"/>
      <c r="H22" s="72"/>
      <c r="I22" s="72"/>
      <c r="J22" s="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4" t="s">
        <v>49</v>
      </c>
      <c r="B23" s="49"/>
      <c r="C23" s="35">
        <v>21.29</v>
      </c>
      <c r="D23" s="16" t="s">
        <v>50</v>
      </c>
      <c r="E23" s="21">
        <v>1000</v>
      </c>
      <c r="F23" s="81" t="s">
        <v>51</v>
      </c>
      <c r="G23" s="49"/>
      <c r="H23" s="82" t="str">
        <f>IF(AND(C24&lt;0.15),"&lt;0.15",C24)</f>
        <v>&lt;0.15</v>
      </c>
      <c r="I23" s="72"/>
      <c r="J23" s="18" t="s">
        <v>52</v>
      </c>
    </row>
    <row r="24" spans="1:26" ht="15.75" customHeight="1" x14ac:dyDescent="0.25">
      <c r="A24" s="19" t="s">
        <v>53</v>
      </c>
      <c r="B24" s="1"/>
      <c r="C24" s="52">
        <f>C23/1000</f>
        <v>2.129E-2</v>
      </c>
      <c r="D24" s="53"/>
      <c r="E24" s="20"/>
      <c r="F24" s="1"/>
      <c r="G24" s="1"/>
      <c r="H24" s="1"/>
      <c r="I24" s="1"/>
      <c r="J24" s="18"/>
    </row>
    <row r="25" spans="1:26" ht="15.75" customHeight="1" x14ac:dyDescent="0.25">
      <c r="A25" s="85" t="s">
        <v>54</v>
      </c>
      <c r="B25" s="72"/>
      <c r="C25" s="72"/>
      <c r="D25" s="72"/>
      <c r="E25" s="72"/>
      <c r="F25" s="72"/>
      <c r="G25" s="72"/>
      <c r="H25" s="72"/>
      <c r="I25" s="72"/>
      <c r="J25" s="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83" t="s">
        <v>49</v>
      </c>
      <c r="B26" s="56"/>
      <c r="C26" s="35">
        <v>26.940999999999999</v>
      </c>
      <c r="D26" s="16" t="s">
        <v>50</v>
      </c>
      <c r="E26" s="21">
        <v>1000</v>
      </c>
      <c r="F26" s="86" t="s">
        <v>51</v>
      </c>
      <c r="G26" s="49"/>
      <c r="H26" s="82" t="str">
        <f>IF(AND(C27&lt;0.15),"&lt;0.15",C27)</f>
        <v>&lt;0.15</v>
      </c>
      <c r="I26" s="72"/>
      <c r="J26" s="22" t="s">
        <v>52</v>
      </c>
    </row>
    <row r="27" spans="1:26" ht="15.75" customHeight="1" x14ac:dyDescent="0.25">
      <c r="A27" s="19" t="s">
        <v>53</v>
      </c>
      <c r="B27" s="1"/>
      <c r="C27" s="87">
        <f>C26/1000</f>
        <v>2.6941E-2</v>
      </c>
      <c r="D27" s="59"/>
      <c r="E27" s="20"/>
      <c r="F27" s="1"/>
      <c r="G27" s="1"/>
      <c r="H27" s="1"/>
      <c r="I27" s="1"/>
      <c r="J27" s="18"/>
    </row>
    <row r="28" spans="1:26" ht="15.75" customHeight="1" x14ac:dyDescent="0.25">
      <c r="A28" s="85" t="s">
        <v>55</v>
      </c>
      <c r="B28" s="72"/>
      <c r="C28" s="72"/>
      <c r="D28" s="72"/>
      <c r="E28" s="72"/>
      <c r="F28" s="72"/>
      <c r="G28" s="72"/>
      <c r="H28" s="72"/>
      <c r="I28" s="72"/>
      <c r="J28" s="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83" t="s">
        <v>49</v>
      </c>
      <c r="B29" s="56"/>
      <c r="C29" s="35">
        <v>254.74600000000001</v>
      </c>
      <c r="D29" s="16" t="s">
        <v>50</v>
      </c>
      <c r="E29" s="21">
        <v>1000</v>
      </c>
      <c r="F29" s="88" t="s">
        <v>51</v>
      </c>
      <c r="G29" s="56"/>
      <c r="H29" s="82">
        <f>IF(AND(C30&lt;0.15),"&lt;0.15",C30)</f>
        <v>0.25474600000000003</v>
      </c>
      <c r="I29" s="72"/>
      <c r="J29" s="18" t="s">
        <v>52</v>
      </c>
    </row>
    <row r="30" spans="1:26" ht="15.75" customHeight="1" x14ac:dyDescent="0.25">
      <c r="A30" s="19" t="s">
        <v>53</v>
      </c>
      <c r="B30" s="1"/>
      <c r="C30" s="52">
        <f>C29/1000</f>
        <v>0.25474600000000003</v>
      </c>
      <c r="D30" s="53"/>
      <c r="E30" s="20"/>
      <c r="F30" s="1"/>
      <c r="G30" s="1"/>
      <c r="H30" s="1"/>
      <c r="I30" s="1"/>
      <c r="J30" s="18"/>
    </row>
    <row r="31" spans="1:26" ht="15.75" customHeight="1" x14ac:dyDescent="0.25">
      <c r="A31" s="54" t="s">
        <v>57</v>
      </c>
      <c r="B31" s="49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55" t="s">
        <v>59</v>
      </c>
      <c r="C32" s="56"/>
      <c r="D32" s="56"/>
      <c r="E32" s="57"/>
      <c r="F32" s="1"/>
      <c r="G32" s="1"/>
      <c r="H32" s="1"/>
      <c r="I32" s="1"/>
      <c r="J32" s="18"/>
    </row>
    <row r="33" spans="1:26" ht="15.75" customHeight="1" x14ac:dyDescent="0.25">
      <c r="A33" s="26"/>
      <c r="B33" s="56"/>
      <c r="C33" s="56"/>
      <c r="D33" s="56"/>
      <c r="E33" s="57"/>
      <c r="F33" s="27"/>
      <c r="G33" s="1"/>
      <c r="H33" s="1"/>
      <c r="I33" s="1"/>
      <c r="J33" s="18"/>
    </row>
    <row r="34" spans="1:26" ht="15.75" customHeight="1" x14ac:dyDescent="0.25">
      <c r="A34" s="28"/>
      <c r="B34" s="55" t="s">
        <v>60</v>
      </c>
      <c r="C34" s="56"/>
      <c r="D34" s="56"/>
      <c r="E34" s="57"/>
      <c r="F34" s="1"/>
      <c r="G34" s="1"/>
      <c r="H34" s="1"/>
      <c r="I34" s="1"/>
      <c r="J34" s="18"/>
    </row>
    <row r="35" spans="1:26" ht="15.75" customHeight="1" x14ac:dyDescent="0.25">
      <c r="A35" s="28"/>
      <c r="B35" s="56"/>
      <c r="C35" s="56"/>
      <c r="D35" s="56"/>
      <c r="E35" s="57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8" t="s">
        <v>61</v>
      </c>
      <c r="B38" s="49"/>
      <c r="C38" s="49"/>
      <c r="D38" s="49"/>
      <c r="E38" s="59"/>
      <c r="F38" s="42" t="s">
        <v>68</v>
      </c>
      <c r="G38" s="43"/>
      <c r="H38" s="43"/>
      <c r="I38" s="43"/>
      <c r="J38" s="44"/>
    </row>
    <row r="39" spans="1:26" ht="11.25" customHeight="1" x14ac:dyDescent="0.25">
      <c r="A39" s="50"/>
      <c r="B39" s="51"/>
      <c r="C39" s="51"/>
      <c r="D39" s="51"/>
      <c r="E39" s="60"/>
      <c r="F39" s="45"/>
      <c r="G39" s="46"/>
      <c r="H39" s="46"/>
      <c r="I39" s="46"/>
      <c r="J39" s="47"/>
    </row>
    <row r="40" spans="1:26" ht="15.75" customHeight="1" x14ac:dyDescent="0.25">
      <c r="A40" s="48" t="s">
        <v>62</v>
      </c>
      <c r="B40" s="49"/>
      <c r="C40" s="49"/>
      <c r="D40" s="49"/>
      <c r="E40" s="49"/>
      <c r="F40" s="33"/>
      <c r="G40" s="29"/>
      <c r="H40" s="29"/>
      <c r="I40" s="29"/>
      <c r="J40" s="18"/>
    </row>
    <row r="41" spans="1:26" ht="11.25" customHeight="1" x14ac:dyDescent="0.25">
      <c r="A41" s="50"/>
      <c r="B41" s="51"/>
      <c r="C41" s="51"/>
      <c r="D41" s="51"/>
      <c r="E41" s="5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/>
    <row r="45" spans="1:26" ht="15.75" customHeight="1" x14ac:dyDescent="0.25"/>
    <row r="46" spans="1:26" ht="15.75" customHeight="1" x14ac:dyDescent="0.25"/>
    <row r="47" spans="1:26" ht="15.75" customHeight="1" x14ac:dyDescent="0.25"/>
    <row r="48" spans="1:26" ht="15.75" customHeight="1" x14ac:dyDescent="0.25"/>
    <row r="49" ht="15.75" customHeight="1" x14ac:dyDescent="0.25"/>
    <row r="50" ht="28.5" customHeight="1" x14ac:dyDescent="0.25"/>
    <row r="51" ht="15.75" customHeight="1" x14ac:dyDescent="0.25"/>
    <row r="52" ht="15.75" customHeight="1" x14ac:dyDescent="0.25"/>
    <row r="53" ht="15.75" customHeight="1" x14ac:dyDescent="0.25"/>
    <row r="54" ht="31.5" customHeight="1" x14ac:dyDescent="0.25"/>
    <row r="55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spans="1:1" ht="15.75" customHeight="1" x14ac:dyDescent="0.25"/>
    <row r="242" spans="1:1" ht="15.75" customHeight="1" x14ac:dyDescent="0.25"/>
    <row r="243" spans="1:1" ht="15.75" customHeight="1" x14ac:dyDescent="0.25"/>
    <row r="244" spans="1:1" ht="15.75" customHeight="1" x14ac:dyDescent="0.25"/>
    <row r="245" spans="1:1" ht="15.75" customHeight="1" x14ac:dyDescent="0.25"/>
    <row r="246" spans="1:1" ht="15.75" customHeight="1" x14ac:dyDescent="0.25"/>
    <row r="247" spans="1:1" ht="15.75" customHeight="1" x14ac:dyDescent="0.25"/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B34:E35"/>
    <mergeCell ref="A38:E39"/>
    <mergeCell ref="F38:J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A5D39-DE20-42B7-86A5-3BB4D7A3CD59}">
  <sheetPr codeName="Sheet3"/>
  <dimension ref="A1:Z579"/>
  <sheetViews>
    <sheetView view="pageLayout" topLeftCell="A2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7" customWidth="1"/>
    <col min="2" max="2" width="8" style="37" customWidth="1"/>
    <col min="3" max="3" width="11.28515625" style="37" customWidth="1"/>
    <col min="4" max="4" width="6" style="37" customWidth="1"/>
    <col min="5" max="5" width="6.85546875" style="37" customWidth="1"/>
    <col min="6" max="6" width="12.140625" style="37" customWidth="1"/>
    <col min="7" max="7" width="10" style="37" customWidth="1"/>
    <col min="8" max="8" width="8.5703125" style="37" customWidth="1"/>
    <col min="9" max="9" width="4.5703125" style="37" customWidth="1"/>
    <col min="10" max="10" width="6.7109375" style="37" customWidth="1"/>
    <col min="11" max="11" width="8" style="37" customWidth="1"/>
    <col min="12" max="16384" width="14.42578125" style="37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5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53"/>
    </row>
    <row r="3" spans="1:26" ht="15" customHeight="1" x14ac:dyDescent="0.25">
      <c r="A3" s="73" t="s">
        <v>2</v>
      </c>
      <c r="B3" s="72"/>
      <c r="C3" s="53"/>
      <c r="D3" s="74">
        <v>2024050027</v>
      </c>
      <c r="E3" s="72"/>
      <c r="F3" s="72"/>
      <c r="G3" s="72"/>
      <c r="H3" s="72"/>
      <c r="I3" s="72"/>
      <c r="J3" s="53"/>
    </row>
    <row r="4" spans="1:26" ht="15" customHeight="1" x14ac:dyDescent="0.25">
      <c r="A4" s="73" t="s">
        <v>3</v>
      </c>
      <c r="B4" s="72"/>
      <c r="C4" s="53"/>
      <c r="D4" s="75" t="s">
        <v>67</v>
      </c>
      <c r="E4" s="76"/>
      <c r="F4" s="76"/>
      <c r="G4" s="76"/>
      <c r="H4" s="76"/>
      <c r="I4" s="76"/>
      <c r="J4" s="77"/>
    </row>
    <row r="5" spans="1:26" ht="15" customHeight="1" x14ac:dyDescent="0.25">
      <c r="A5" s="78" t="s">
        <v>4</v>
      </c>
      <c r="B5" s="72"/>
      <c r="C5" s="72"/>
      <c r="D5" s="72"/>
      <c r="E5" s="72"/>
      <c r="F5" s="72"/>
      <c r="G5" s="72"/>
      <c r="H5" s="72"/>
      <c r="I5" s="72"/>
      <c r="J5" s="5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8" t="s">
        <v>5</v>
      </c>
      <c r="B6" s="72"/>
      <c r="C6" s="72"/>
      <c r="D6" s="72"/>
      <c r="E6" s="72"/>
      <c r="F6" s="72"/>
      <c r="G6" s="72"/>
      <c r="H6" s="72"/>
      <c r="I6" s="72"/>
      <c r="J6" s="53"/>
    </row>
    <row r="7" spans="1:26" ht="30" customHeight="1" x14ac:dyDescent="0.25">
      <c r="A7" s="79" t="s">
        <v>6</v>
      </c>
      <c r="B7" s="49"/>
      <c r="C7" s="80" t="s">
        <v>7</v>
      </c>
      <c r="D7" s="49"/>
      <c r="E7" s="49"/>
      <c r="F7" s="39" t="s">
        <v>8</v>
      </c>
      <c r="G7" s="69" t="s">
        <v>9</v>
      </c>
      <c r="H7" s="49"/>
      <c r="I7" s="49"/>
      <c r="J7" s="59"/>
    </row>
    <row r="8" spans="1:26" ht="15" customHeight="1" x14ac:dyDescent="0.25">
      <c r="A8" s="61" t="s">
        <v>10</v>
      </c>
      <c r="B8" s="56"/>
      <c r="C8" s="62" t="s">
        <v>11</v>
      </c>
      <c r="D8" s="56"/>
      <c r="E8" s="4"/>
      <c r="F8" s="41" t="s">
        <v>12</v>
      </c>
      <c r="G8" s="6" t="s">
        <v>13</v>
      </c>
      <c r="H8" s="6" t="s">
        <v>14</v>
      </c>
      <c r="I8" s="70"/>
      <c r="J8" s="57"/>
    </row>
    <row r="9" spans="1:26" ht="30" customHeight="1" x14ac:dyDescent="0.25">
      <c r="A9" s="61" t="s">
        <v>15</v>
      </c>
      <c r="B9" s="56"/>
      <c r="C9" s="62" t="s">
        <v>16</v>
      </c>
      <c r="D9" s="56"/>
      <c r="E9" s="36"/>
      <c r="F9" s="39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1" t="s">
        <v>20</v>
      </c>
      <c r="B10" s="56"/>
      <c r="C10" s="62" t="s">
        <v>21</v>
      </c>
      <c r="D10" s="56"/>
      <c r="E10" s="36"/>
      <c r="F10" s="39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1" t="s">
        <v>25</v>
      </c>
      <c r="B11" s="56"/>
      <c r="C11" s="62" t="s">
        <v>26</v>
      </c>
      <c r="D11" s="56"/>
      <c r="E11" s="36"/>
      <c r="F11" s="39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1" t="s">
        <v>30</v>
      </c>
      <c r="B12" s="56"/>
      <c r="C12" s="62" t="s">
        <v>31</v>
      </c>
      <c r="D12" s="56"/>
      <c r="E12" s="36"/>
      <c r="F12" s="39" t="s">
        <v>32</v>
      </c>
      <c r="G12" s="8" t="s">
        <v>33</v>
      </c>
      <c r="H12" s="8" t="s">
        <v>34</v>
      </c>
      <c r="I12" s="9"/>
      <c r="J12" s="10"/>
    </row>
    <row r="13" spans="1:26" ht="30" customHeight="1" x14ac:dyDescent="0.25">
      <c r="A13" s="61" t="s">
        <v>35</v>
      </c>
      <c r="B13" s="56"/>
      <c r="C13" s="62" t="s">
        <v>36</v>
      </c>
      <c r="D13" s="56"/>
      <c r="E13" s="36"/>
      <c r="F13" s="39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1" t="s">
        <v>40</v>
      </c>
      <c r="B14" s="56"/>
      <c r="C14" s="62" t="s">
        <v>41</v>
      </c>
      <c r="D14" s="56"/>
      <c r="E14" s="36"/>
      <c r="F14" s="68" t="s">
        <v>42</v>
      </c>
      <c r="G14" s="56"/>
      <c r="H14" s="56"/>
      <c r="I14" s="67" t="s">
        <v>43</v>
      </c>
      <c r="J14" s="57"/>
    </row>
    <row r="15" spans="1:26" ht="15" customHeight="1" x14ac:dyDescent="0.25">
      <c r="A15" s="61" t="s">
        <v>44</v>
      </c>
      <c r="B15" s="56"/>
      <c r="C15" s="62" t="s">
        <v>45</v>
      </c>
      <c r="D15" s="56"/>
      <c r="E15" s="36"/>
      <c r="F15" s="62" t="s">
        <v>63</v>
      </c>
      <c r="G15" s="56"/>
      <c r="H15" s="56"/>
      <c r="I15" s="63">
        <v>45808</v>
      </c>
      <c r="J15" s="64"/>
    </row>
    <row r="16" spans="1:26" ht="15" customHeight="1" x14ac:dyDescent="0.25">
      <c r="A16" s="61" t="s">
        <v>46</v>
      </c>
      <c r="B16" s="56"/>
      <c r="C16" s="65" t="s">
        <v>47</v>
      </c>
      <c r="D16" s="56"/>
      <c r="E16" s="56"/>
      <c r="F16" s="66" t="s">
        <v>64</v>
      </c>
      <c r="G16" s="56"/>
      <c r="H16" s="56"/>
      <c r="I16" s="63">
        <v>45716</v>
      </c>
      <c r="J16" s="64"/>
    </row>
    <row r="17" spans="1:26" ht="15" customHeight="1" x14ac:dyDescent="0.25">
      <c r="A17" s="38"/>
      <c r="B17" s="39"/>
      <c r="C17" s="40"/>
      <c r="D17" s="40"/>
      <c r="E17" s="40"/>
      <c r="F17" s="66" t="s">
        <v>65</v>
      </c>
      <c r="G17" s="56"/>
      <c r="H17" s="56"/>
      <c r="I17" s="63">
        <v>45688</v>
      </c>
      <c r="J17" s="6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9" t="s">
        <v>66</v>
      </c>
      <c r="G18" s="51"/>
      <c r="H18" s="51"/>
      <c r="I18" s="90">
        <v>46142</v>
      </c>
      <c r="J18" s="91"/>
    </row>
    <row r="19" spans="1:26" x14ac:dyDescent="0.25">
      <c r="A19" s="85" t="s">
        <v>48</v>
      </c>
      <c r="B19" s="72"/>
      <c r="C19" s="72"/>
      <c r="D19" s="72"/>
      <c r="E19" s="72"/>
      <c r="F19" s="72"/>
      <c r="G19" s="72"/>
      <c r="H19" s="72"/>
      <c r="I19" s="72"/>
      <c r="J19" s="53"/>
    </row>
    <row r="20" spans="1:26" ht="26.25" customHeight="1" x14ac:dyDescent="0.25">
      <c r="A20" s="84" t="s">
        <v>49</v>
      </c>
      <c r="B20" s="49"/>
      <c r="C20" s="35">
        <v>207.934</v>
      </c>
      <c r="D20" s="16" t="s">
        <v>50</v>
      </c>
      <c r="E20" s="17">
        <v>1000</v>
      </c>
      <c r="F20" s="81" t="s">
        <v>51</v>
      </c>
      <c r="G20" s="49"/>
      <c r="H20" s="82">
        <f>IF(AND(C21&lt;0.15),"&lt;0.15",C21)</f>
        <v>0.20793400000000001</v>
      </c>
      <c r="I20" s="72"/>
      <c r="J20" s="18" t="s">
        <v>52</v>
      </c>
    </row>
    <row r="21" spans="1:26" ht="15.75" customHeight="1" x14ac:dyDescent="0.25">
      <c r="A21" s="19" t="s">
        <v>53</v>
      </c>
      <c r="B21" s="1"/>
      <c r="C21" s="52">
        <f>C20/1000</f>
        <v>0.20793400000000001</v>
      </c>
      <c r="D21" s="53"/>
      <c r="E21" s="20"/>
      <c r="F21" s="1"/>
      <c r="G21" s="1"/>
      <c r="H21" s="1"/>
      <c r="I21" s="1"/>
      <c r="J21" s="18"/>
    </row>
    <row r="22" spans="1:26" ht="15.75" customHeight="1" x14ac:dyDescent="0.25">
      <c r="A22" s="85" t="s">
        <v>56</v>
      </c>
      <c r="B22" s="72"/>
      <c r="C22" s="72"/>
      <c r="D22" s="72"/>
      <c r="E22" s="72"/>
      <c r="F22" s="72"/>
      <c r="G22" s="72"/>
      <c r="H22" s="72"/>
      <c r="I22" s="72"/>
      <c r="J22" s="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4" t="s">
        <v>49</v>
      </c>
      <c r="B23" s="49"/>
      <c r="C23" s="35">
        <v>12.808999999999999</v>
      </c>
      <c r="D23" s="16" t="s">
        <v>50</v>
      </c>
      <c r="E23" s="21">
        <v>1000</v>
      </c>
      <c r="F23" s="81" t="s">
        <v>51</v>
      </c>
      <c r="G23" s="49"/>
      <c r="H23" s="82" t="str">
        <f>IF(AND(C24&lt;0.15),"&lt;0.15",C24)</f>
        <v>&lt;0.15</v>
      </c>
      <c r="I23" s="72"/>
      <c r="J23" s="18" t="s">
        <v>52</v>
      </c>
    </row>
    <row r="24" spans="1:26" ht="15.75" customHeight="1" x14ac:dyDescent="0.25">
      <c r="A24" s="19" t="s">
        <v>53</v>
      </c>
      <c r="B24" s="1"/>
      <c r="C24" s="52">
        <f>C23/1000</f>
        <v>1.2808999999999999E-2</v>
      </c>
      <c r="D24" s="53"/>
      <c r="E24" s="20"/>
      <c r="F24" s="1"/>
      <c r="G24" s="1"/>
      <c r="H24" s="1"/>
      <c r="I24" s="1"/>
      <c r="J24" s="18"/>
    </row>
    <row r="25" spans="1:26" ht="15.75" customHeight="1" x14ac:dyDescent="0.25">
      <c r="A25" s="85" t="s">
        <v>54</v>
      </c>
      <c r="B25" s="72"/>
      <c r="C25" s="72"/>
      <c r="D25" s="72"/>
      <c r="E25" s="72"/>
      <c r="F25" s="72"/>
      <c r="G25" s="72"/>
      <c r="H25" s="72"/>
      <c r="I25" s="72"/>
      <c r="J25" s="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83" t="s">
        <v>49</v>
      </c>
      <c r="B26" s="56"/>
      <c r="C26" s="35">
        <v>23.507999999999999</v>
      </c>
      <c r="D26" s="16" t="s">
        <v>50</v>
      </c>
      <c r="E26" s="21">
        <v>1000</v>
      </c>
      <c r="F26" s="86" t="s">
        <v>51</v>
      </c>
      <c r="G26" s="49"/>
      <c r="H26" s="82" t="str">
        <f>IF(AND(C27&lt;0.15),"&lt;0.15",C27)</f>
        <v>&lt;0.15</v>
      </c>
      <c r="I26" s="72"/>
      <c r="J26" s="22" t="s">
        <v>52</v>
      </c>
    </row>
    <row r="27" spans="1:26" ht="15.75" customHeight="1" x14ac:dyDescent="0.25">
      <c r="A27" s="19" t="s">
        <v>53</v>
      </c>
      <c r="B27" s="1"/>
      <c r="C27" s="87">
        <f>C26/1000</f>
        <v>2.3507999999999998E-2</v>
      </c>
      <c r="D27" s="59"/>
      <c r="E27" s="20"/>
      <c r="F27" s="1"/>
      <c r="G27" s="1"/>
      <c r="H27" s="1"/>
      <c r="I27" s="1"/>
      <c r="J27" s="18"/>
    </row>
    <row r="28" spans="1:26" ht="15.75" customHeight="1" x14ac:dyDescent="0.25">
      <c r="A28" s="85" t="s">
        <v>55</v>
      </c>
      <c r="B28" s="72"/>
      <c r="C28" s="72"/>
      <c r="D28" s="72"/>
      <c r="E28" s="72"/>
      <c r="F28" s="72"/>
      <c r="G28" s="72"/>
      <c r="H28" s="72"/>
      <c r="I28" s="72"/>
      <c r="J28" s="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83" t="s">
        <v>49</v>
      </c>
      <c r="B29" s="56"/>
      <c r="C29" s="35">
        <v>189.459</v>
      </c>
      <c r="D29" s="16" t="s">
        <v>50</v>
      </c>
      <c r="E29" s="21">
        <v>1000</v>
      </c>
      <c r="F29" s="88" t="s">
        <v>51</v>
      </c>
      <c r="G29" s="56"/>
      <c r="H29" s="82">
        <f>IF(AND(C30&lt;0.15),"&lt;0.15",C30)</f>
        <v>0.18945900000000002</v>
      </c>
      <c r="I29" s="72"/>
      <c r="J29" s="18" t="s">
        <v>52</v>
      </c>
    </row>
    <row r="30" spans="1:26" ht="15.75" customHeight="1" x14ac:dyDescent="0.25">
      <c r="A30" s="19" t="s">
        <v>53</v>
      </c>
      <c r="B30" s="1"/>
      <c r="C30" s="52">
        <f>C29/1000</f>
        <v>0.18945900000000002</v>
      </c>
      <c r="D30" s="53"/>
      <c r="E30" s="20"/>
      <c r="F30" s="1"/>
      <c r="G30" s="1"/>
      <c r="H30" s="1"/>
      <c r="I30" s="1"/>
      <c r="J30" s="18"/>
    </row>
    <row r="31" spans="1:26" ht="15.75" customHeight="1" x14ac:dyDescent="0.25">
      <c r="A31" s="54" t="s">
        <v>57</v>
      </c>
      <c r="B31" s="49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55" t="s">
        <v>59</v>
      </c>
      <c r="C32" s="56"/>
      <c r="D32" s="56"/>
      <c r="E32" s="57"/>
      <c r="F32" s="1"/>
      <c r="G32" s="1"/>
      <c r="H32" s="1"/>
      <c r="I32" s="1"/>
      <c r="J32" s="18"/>
    </row>
    <row r="33" spans="1:26" ht="15.75" customHeight="1" x14ac:dyDescent="0.25">
      <c r="A33" s="26"/>
      <c r="B33" s="56"/>
      <c r="C33" s="56"/>
      <c r="D33" s="56"/>
      <c r="E33" s="57"/>
      <c r="F33" s="27"/>
      <c r="G33" s="1"/>
      <c r="H33" s="1"/>
      <c r="I33" s="1"/>
      <c r="J33" s="18"/>
    </row>
    <row r="34" spans="1:26" ht="15.75" customHeight="1" x14ac:dyDescent="0.25">
      <c r="A34" s="28"/>
      <c r="B34" s="55" t="s">
        <v>60</v>
      </c>
      <c r="C34" s="56"/>
      <c r="D34" s="56"/>
      <c r="E34" s="57"/>
      <c r="F34" s="1"/>
      <c r="G34" s="1"/>
      <c r="H34" s="1"/>
      <c r="I34" s="1"/>
      <c r="J34" s="18"/>
    </row>
    <row r="35" spans="1:26" ht="15.75" customHeight="1" x14ac:dyDescent="0.25">
      <c r="A35" s="28"/>
      <c r="B35" s="56"/>
      <c r="C35" s="56"/>
      <c r="D35" s="56"/>
      <c r="E35" s="57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8" t="s">
        <v>61</v>
      </c>
      <c r="B38" s="49"/>
      <c r="C38" s="49"/>
      <c r="D38" s="49"/>
      <c r="E38" s="59"/>
      <c r="F38" s="42" t="s">
        <v>68</v>
      </c>
      <c r="G38" s="43"/>
      <c r="H38" s="43"/>
      <c r="I38" s="43"/>
      <c r="J38" s="44"/>
    </row>
    <row r="39" spans="1:26" ht="11.25" customHeight="1" x14ac:dyDescent="0.25">
      <c r="A39" s="50"/>
      <c r="B39" s="51"/>
      <c r="C39" s="51"/>
      <c r="D39" s="51"/>
      <c r="E39" s="60"/>
      <c r="F39" s="45"/>
      <c r="G39" s="46"/>
      <c r="H39" s="46"/>
      <c r="I39" s="46"/>
      <c r="J39" s="47"/>
    </row>
    <row r="40" spans="1:26" ht="15.75" customHeight="1" x14ac:dyDescent="0.25">
      <c r="A40" s="48" t="s">
        <v>62</v>
      </c>
      <c r="B40" s="49"/>
      <c r="C40" s="49"/>
      <c r="D40" s="49"/>
      <c r="E40" s="49"/>
      <c r="F40" s="33"/>
      <c r="G40" s="29"/>
      <c r="H40" s="29"/>
      <c r="I40" s="29"/>
      <c r="J40" s="18"/>
    </row>
    <row r="41" spans="1:26" ht="11.25" customHeight="1" x14ac:dyDescent="0.25">
      <c r="A41" s="50"/>
      <c r="B41" s="51"/>
      <c r="C41" s="51"/>
      <c r="D41" s="51"/>
      <c r="E41" s="5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/>
    <row r="45" spans="1:26" ht="15.75" customHeight="1" x14ac:dyDescent="0.25"/>
    <row r="46" spans="1:26" ht="15.75" customHeight="1" x14ac:dyDescent="0.25"/>
    <row r="47" spans="1:26" ht="15.75" customHeight="1" x14ac:dyDescent="0.25"/>
    <row r="48" spans="1:26" ht="15.75" customHeight="1" x14ac:dyDescent="0.25"/>
    <row r="49" ht="15.75" customHeight="1" x14ac:dyDescent="0.25"/>
    <row r="50" ht="28.5" customHeight="1" x14ac:dyDescent="0.25"/>
    <row r="51" ht="15.75" customHeight="1" x14ac:dyDescent="0.25"/>
    <row r="52" ht="15.75" customHeight="1" x14ac:dyDescent="0.25"/>
    <row r="53" ht="15.75" customHeight="1" x14ac:dyDescent="0.25"/>
    <row r="54" ht="31.5" customHeight="1" x14ac:dyDescent="0.25"/>
    <row r="55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spans="1:1" ht="15.75" customHeight="1" x14ac:dyDescent="0.25"/>
    <row r="242" spans="1:1" ht="15.75" customHeight="1" x14ac:dyDescent="0.25"/>
    <row r="243" spans="1:1" ht="15.75" customHeight="1" x14ac:dyDescent="0.25"/>
    <row r="244" spans="1:1" ht="15.75" customHeight="1" x14ac:dyDescent="0.25"/>
    <row r="245" spans="1:1" ht="15.75" customHeight="1" x14ac:dyDescent="0.25"/>
    <row r="246" spans="1:1" ht="15.75" customHeight="1" x14ac:dyDescent="0.25"/>
    <row r="247" spans="1:1" ht="15.75" customHeight="1" x14ac:dyDescent="0.25"/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B34:E35"/>
    <mergeCell ref="A38:E39"/>
    <mergeCell ref="F38:J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CA02E-C625-49C4-84D6-A9FCD40C8411}">
  <sheetPr codeName="Sheet4"/>
  <dimension ref="A1:Z579"/>
  <sheetViews>
    <sheetView view="pageLayout" topLeftCell="A22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7" customWidth="1"/>
    <col min="2" max="2" width="8" style="37" customWidth="1"/>
    <col min="3" max="3" width="11.28515625" style="37" customWidth="1"/>
    <col min="4" max="4" width="6" style="37" customWidth="1"/>
    <col min="5" max="5" width="6.85546875" style="37" customWidth="1"/>
    <col min="6" max="6" width="12.140625" style="37" customWidth="1"/>
    <col min="7" max="7" width="10" style="37" customWidth="1"/>
    <col min="8" max="8" width="8.5703125" style="37" customWidth="1"/>
    <col min="9" max="9" width="4.5703125" style="37" customWidth="1"/>
    <col min="10" max="10" width="6.7109375" style="37" customWidth="1"/>
    <col min="11" max="11" width="8" style="37" customWidth="1"/>
    <col min="12" max="16384" width="14.42578125" style="37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5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53"/>
    </row>
    <row r="3" spans="1:26" ht="15" customHeight="1" x14ac:dyDescent="0.25">
      <c r="A3" s="73" t="s">
        <v>2</v>
      </c>
      <c r="B3" s="72"/>
      <c r="C3" s="53"/>
      <c r="D3" s="74">
        <v>2024050028</v>
      </c>
      <c r="E3" s="72"/>
      <c r="F3" s="72"/>
      <c r="G3" s="72"/>
      <c r="H3" s="72"/>
      <c r="I3" s="72"/>
      <c r="J3" s="53"/>
    </row>
    <row r="4" spans="1:26" ht="15" customHeight="1" x14ac:dyDescent="0.25">
      <c r="A4" s="73" t="s">
        <v>3</v>
      </c>
      <c r="B4" s="72"/>
      <c r="C4" s="53"/>
      <c r="D4" s="75" t="s">
        <v>67</v>
      </c>
      <c r="E4" s="76"/>
      <c r="F4" s="76"/>
      <c r="G4" s="76"/>
      <c r="H4" s="76"/>
      <c r="I4" s="76"/>
      <c r="J4" s="77"/>
    </row>
    <row r="5" spans="1:26" ht="15" customHeight="1" x14ac:dyDescent="0.25">
      <c r="A5" s="78" t="s">
        <v>4</v>
      </c>
      <c r="B5" s="72"/>
      <c r="C5" s="72"/>
      <c r="D5" s="72"/>
      <c r="E5" s="72"/>
      <c r="F5" s="72"/>
      <c r="G5" s="72"/>
      <c r="H5" s="72"/>
      <c r="I5" s="72"/>
      <c r="J5" s="5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8" t="s">
        <v>5</v>
      </c>
      <c r="B6" s="72"/>
      <c r="C6" s="72"/>
      <c r="D6" s="72"/>
      <c r="E6" s="72"/>
      <c r="F6" s="72"/>
      <c r="G6" s="72"/>
      <c r="H6" s="72"/>
      <c r="I6" s="72"/>
      <c r="J6" s="53"/>
    </row>
    <row r="7" spans="1:26" ht="30" customHeight="1" x14ac:dyDescent="0.25">
      <c r="A7" s="79" t="s">
        <v>6</v>
      </c>
      <c r="B7" s="49"/>
      <c r="C7" s="80" t="s">
        <v>7</v>
      </c>
      <c r="D7" s="49"/>
      <c r="E7" s="49"/>
      <c r="F7" s="39" t="s">
        <v>8</v>
      </c>
      <c r="G7" s="69" t="s">
        <v>9</v>
      </c>
      <c r="H7" s="49"/>
      <c r="I7" s="49"/>
      <c r="J7" s="59"/>
    </row>
    <row r="8" spans="1:26" ht="15" customHeight="1" x14ac:dyDescent="0.25">
      <c r="A8" s="61" t="s">
        <v>10</v>
      </c>
      <c r="B8" s="56"/>
      <c r="C8" s="62" t="s">
        <v>11</v>
      </c>
      <c r="D8" s="56"/>
      <c r="E8" s="4"/>
      <c r="F8" s="41" t="s">
        <v>12</v>
      </c>
      <c r="G8" s="6" t="s">
        <v>13</v>
      </c>
      <c r="H8" s="6" t="s">
        <v>14</v>
      </c>
      <c r="I8" s="70"/>
      <c r="J8" s="57"/>
    </row>
    <row r="9" spans="1:26" ht="30" customHeight="1" x14ac:dyDescent="0.25">
      <c r="A9" s="61" t="s">
        <v>15</v>
      </c>
      <c r="B9" s="56"/>
      <c r="C9" s="62" t="s">
        <v>16</v>
      </c>
      <c r="D9" s="56"/>
      <c r="E9" s="36"/>
      <c r="F9" s="39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1" t="s">
        <v>20</v>
      </c>
      <c r="B10" s="56"/>
      <c r="C10" s="62" t="s">
        <v>21</v>
      </c>
      <c r="D10" s="56"/>
      <c r="E10" s="36"/>
      <c r="F10" s="39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1" t="s">
        <v>25</v>
      </c>
      <c r="B11" s="56"/>
      <c r="C11" s="62" t="s">
        <v>26</v>
      </c>
      <c r="D11" s="56"/>
      <c r="E11" s="36"/>
      <c r="F11" s="39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1" t="s">
        <v>30</v>
      </c>
      <c r="B12" s="56"/>
      <c r="C12" s="62" t="s">
        <v>31</v>
      </c>
      <c r="D12" s="56"/>
      <c r="E12" s="36"/>
      <c r="F12" s="39" t="s">
        <v>32</v>
      </c>
      <c r="G12" s="8" t="s">
        <v>33</v>
      </c>
      <c r="H12" s="8" t="s">
        <v>34</v>
      </c>
      <c r="I12" s="9"/>
      <c r="J12" s="10"/>
    </row>
    <row r="13" spans="1:26" ht="30" customHeight="1" x14ac:dyDescent="0.25">
      <c r="A13" s="61" t="s">
        <v>35</v>
      </c>
      <c r="B13" s="56"/>
      <c r="C13" s="62" t="s">
        <v>36</v>
      </c>
      <c r="D13" s="56"/>
      <c r="E13" s="36"/>
      <c r="F13" s="39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1" t="s">
        <v>40</v>
      </c>
      <c r="B14" s="56"/>
      <c r="C14" s="62" t="s">
        <v>41</v>
      </c>
      <c r="D14" s="56"/>
      <c r="E14" s="36"/>
      <c r="F14" s="68" t="s">
        <v>42</v>
      </c>
      <c r="G14" s="56"/>
      <c r="H14" s="56"/>
      <c r="I14" s="67" t="s">
        <v>43</v>
      </c>
      <c r="J14" s="57"/>
    </row>
    <row r="15" spans="1:26" ht="15" customHeight="1" x14ac:dyDescent="0.25">
      <c r="A15" s="61" t="s">
        <v>44</v>
      </c>
      <c r="B15" s="56"/>
      <c r="C15" s="62" t="s">
        <v>45</v>
      </c>
      <c r="D15" s="56"/>
      <c r="E15" s="36"/>
      <c r="F15" s="62" t="s">
        <v>63</v>
      </c>
      <c r="G15" s="56"/>
      <c r="H15" s="56"/>
      <c r="I15" s="63">
        <v>45808</v>
      </c>
      <c r="J15" s="64"/>
    </row>
    <row r="16" spans="1:26" ht="15" customHeight="1" x14ac:dyDescent="0.25">
      <c r="A16" s="61" t="s">
        <v>46</v>
      </c>
      <c r="B16" s="56"/>
      <c r="C16" s="65" t="s">
        <v>47</v>
      </c>
      <c r="D16" s="56"/>
      <c r="E16" s="56"/>
      <c r="F16" s="66" t="s">
        <v>64</v>
      </c>
      <c r="G16" s="56"/>
      <c r="H16" s="56"/>
      <c r="I16" s="63">
        <v>45716</v>
      </c>
      <c r="J16" s="64"/>
    </row>
    <row r="17" spans="1:26" ht="15" customHeight="1" x14ac:dyDescent="0.25">
      <c r="A17" s="38"/>
      <c r="B17" s="39"/>
      <c r="C17" s="40"/>
      <c r="D17" s="40"/>
      <c r="E17" s="40"/>
      <c r="F17" s="66" t="s">
        <v>65</v>
      </c>
      <c r="G17" s="56"/>
      <c r="H17" s="56"/>
      <c r="I17" s="63">
        <v>45688</v>
      </c>
      <c r="J17" s="6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9" t="s">
        <v>66</v>
      </c>
      <c r="G18" s="51"/>
      <c r="H18" s="51"/>
      <c r="I18" s="90">
        <v>46142</v>
      </c>
      <c r="J18" s="91"/>
    </row>
    <row r="19" spans="1:26" x14ac:dyDescent="0.25">
      <c r="A19" s="85" t="s">
        <v>48</v>
      </c>
      <c r="B19" s="72"/>
      <c r="C19" s="72"/>
      <c r="D19" s="72"/>
      <c r="E19" s="72"/>
      <c r="F19" s="72"/>
      <c r="G19" s="72"/>
      <c r="H19" s="72"/>
      <c r="I19" s="72"/>
      <c r="J19" s="53"/>
    </row>
    <row r="20" spans="1:26" ht="26.25" customHeight="1" x14ac:dyDescent="0.25">
      <c r="A20" s="84" t="s">
        <v>49</v>
      </c>
      <c r="B20" s="49"/>
      <c r="C20" s="35">
        <v>339.03300000000002</v>
      </c>
      <c r="D20" s="16" t="s">
        <v>50</v>
      </c>
      <c r="E20" s="17">
        <v>1000</v>
      </c>
      <c r="F20" s="81" t="s">
        <v>51</v>
      </c>
      <c r="G20" s="49"/>
      <c r="H20" s="82">
        <f>IF(AND(C21&lt;0.15),"&lt;0.15",C21)</f>
        <v>0.33903300000000003</v>
      </c>
      <c r="I20" s="72"/>
      <c r="J20" s="18" t="s">
        <v>52</v>
      </c>
    </row>
    <row r="21" spans="1:26" ht="15.75" customHeight="1" x14ac:dyDescent="0.25">
      <c r="A21" s="19" t="s">
        <v>53</v>
      </c>
      <c r="B21" s="1"/>
      <c r="C21" s="52">
        <f>C20/1000</f>
        <v>0.33903300000000003</v>
      </c>
      <c r="D21" s="53"/>
      <c r="E21" s="20"/>
      <c r="F21" s="1"/>
      <c r="G21" s="1"/>
      <c r="H21" s="1"/>
      <c r="I21" s="1"/>
      <c r="J21" s="18"/>
    </row>
    <row r="22" spans="1:26" ht="15.75" customHeight="1" x14ac:dyDescent="0.25">
      <c r="A22" s="85" t="s">
        <v>56</v>
      </c>
      <c r="B22" s="72"/>
      <c r="C22" s="72"/>
      <c r="D22" s="72"/>
      <c r="E22" s="72"/>
      <c r="F22" s="72"/>
      <c r="G22" s="72"/>
      <c r="H22" s="72"/>
      <c r="I22" s="72"/>
      <c r="J22" s="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4" t="s">
        <v>49</v>
      </c>
      <c r="B23" s="49"/>
      <c r="C23" s="35">
        <v>107.29</v>
      </c>
      <c r="D23" s="16" t="s">
        <v>50</v>
      </c>
      <c r="E23" s="21">
        <v>1000</v>
      </c>
      <c r="F23" s="81" t="s">
        <v>51</v>
      </c>
      <c r="G23" s="49"/>
      <c r="H23" s="82" t="str">
        <f>IF(AND(C24&lt;0.15),"&lt;0.15",C24)</f>
        <v>&lt;0.15</v>
      </c>
      <c r="I23" s="72"/>
      <c r="J23" s="18" t="s">
        <v>52</v>
      </c>
    </row>
    <row r="24" spans="1:26" ht="15.75" customHeight="1" x14ac:dyDescent="0.25">
      <c r="A24" s="19" t="s">
        <v>53</v>
      </c>
      <c r="B24" s="1"/>
      <c r="C24" s="52">
        <f>C23/1000</f>
        <v>0.10729000000000001</v>
      </c>
      <c r="D24" s="53"/>
      <c r="E24" s="20"/>
      <c r="F24" s="1"/>
      <c r="G24" s="1"/>
      <c r="H24" s="1"/>
      <c r="I24" s="1"/>
      <c r="J24" s="18"/>
    </row>
    <row r="25" spans="1:26" ht="15.75" customHeight="1" x14ac:dyDescent="0.25">
      <c r="A25" s="85" t="s">
        <v>54</v>
      </c>
      <c r="B25" s="72"/>
      <c r="C25" s="72"/>
      <c r="D25" s="72"/>
      <c r="E25" s="72"/>
      <c r="F25" s="72"/>
      <c r="G25" s="72"/>
      <c r="H25" s="72"/>
      <c r="I25" s="72"/>
      <c r="J25" s="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83" t="s">
        <v>49</v>
      </c>
      <c r="B26" s="56"/>
      <c r="C26" s="35">
        <v>61.600999999999999</v>
      </c>
      <c r="D26" s="16" t="s">
        <v>50</v>
      </c>
      <c r="E26" s="21">
        <v>1000</v>
      </c>
      <c r="F26" s="86" t="s">
        <v>51</v>
      </c>
      <c r="G26" s="49"/>
      <c r="H26" s="82" t="str">
        <f>IF(AND(C27&lt;0.15),"&lt;0.15",C27)</f>
        <v>&lt;0.15</v>
      </c>
      <c r="I26" s="72"/>
      <c r="J26" s="22" t="s">
        <v>52</v>
      </c>
    </row>
    <row r="27" spans="1:26" ht="15.75" customHeight="1" x14ac:dyDescent="0.25">
      <c r="A27" s="19" t="s">
        <v>53</v>
      </c>
      <c r="B27" s="1"/>
      <c r="C27" s="87">
        <f>C26/1000</f>
        <v>6.1600999999999996E-2</v>
      </c>
      <c r="D27" s="59"/>
      <c r="E27" s="20"/>
      <c r="F27" s="1"/>
      <c r="G27" s="1"/>
      <c r="H27" s="1"/>
      <c r="I27" s="1"/>
      <c r="J27" s="18"/>
    </row>
    <row r="28" spans="1:26" ht="15.75" customHeight="1" x14ac:dyDescent="0.25">
      <c r="A28" s="85" t="s">
        <v>55</v>
      </c>
      <c r="B28" s="72"/>
      <c r="C28" s="72"/>
      <c r="D28" s="72"/>
      <c r="E28" s="72"/>
      <c r="F28" s="72"/>
      <c r="G28" s="72"/>
      <c r="H28" s="72"/>
      <c r="I28" s="72"/>
      <c r="J28" s="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83" t="s">
        <v>49</v>
      </c>
      <c r="B29" s="56"/>
      <c r="C29" s="35">
        <v>461.62099999999998</v>
      </c>
      <c r="D29" s="16" t="s">
        <v>50</v>
      </c>
      <c r="E29" s="21">
        <v>1000</v>
      </c>
      <c r="F29" s="88" t="s">
        <v>51</v>
      </c>
      <c r="G29" s="56"/>
      <c r="H29" s="82">
        <f>IF(AND(C30&lt;0.15),"&lt;0.15",C30)</f>
        <v>0.461621</v>
      </c>
      <c r="I29" s="72"/>
      <c r="J29" s="18" t="s">
        <v>52</v>
      </c>
    </row>
    <row r="30" spans="1:26" ht="15.75" customHeight="1" x14ac:dyDescent="0.25">
      <c r="A30" s="19" t="s">
        <v>53</v>
      </c>
      <c r="B30" s="1"/>
      <c r="C30" s="52">
        <f>C29/1000</f>
        <v>0.461621</v>
      </c>
      <c r="D30" s="53"/>
      <c r="E30" s="20"/>
      <c r="F30" s="1"/>
      <c r="G30" s="1"/>
      <c r="H30" s="1"/>
      <c r="I30" s="1"/>
      <c r="J30" s="18"/>
    </row>
    <row r="31" spans="1:26" ht="15.75" customHeight="1" x14ac:dyDescent="0.25">
      <c r="A31" s="54" t="s">
        <v>57</v>
      </c>
      <c r="B31" s="49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55" t="s">
        <v>59</v>
      </c>
      <c r="C32" s="56"/>
      <c r="D32" s="56"/>
      <c r="E32" s="57"/>
      <c r="F32" s="1"/>
      <c r="G32" s="1"/>
      <c r="H32" s="1"/>
      <c r="I32" s="1"/>
      <c r="J32" s="18"/>
    </row>
    <row r="33" spans="1:26" ht="15.75" customHeight="1" x14ac:dyDescent="0.25">
      <c r="A33" s="26"/>
      <c r="B33" s="56"/>
      <c r="C33" s="56"/>
      <c r="D33" s="56"/>
      <c r="E33" s="57"/>
      <c r="F33" s="27"/>
      <c r="G33" s="1"/>
      <c r="H33" s="1"/>
      <c r="I33" s="1"/>
      <c r="J33" s="18"/>
    </row>
    <row r="34" spans="1:26" ht="15.75" customHeight="1" x14ac:dyDescent="0.25">
      <c r="A34" s="28"/>
      <c r="B34" s="55" t="s">
        <v>60</v>
      </c>
      <c r="C34" s="56"/>
      <c r="D34" s="56"/>
      <c r="E34" s="57"/>
      <c r="F34" s="1"/>
      <c r="G34" s="1"/>
      <c r="H34" s="1"/>
      <c r="I34" s="1"/>
      <c r="J34" s="18"/>
    </row>
    <row r="35" spans="1:26" ht="15.75" customHeight="1" x14ac:dyDescent="0.25">
      <c r="A35" s="28"/>
      <c r="B35" s="56"/>
      <c r="C35" s="56"/>
      <c r="D35" s="56"/>
      <c r="E35" s="57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8" t="s">
        <v>61</v>
      </c>
      <c r="B38" s="49"/>
      <c r="C38" s="49"/>
      <c r="D38" s="49"/>
      <c r="E38" s="59"/>
      <c r="F38" s="42" t="s">
        <v>68</v>
      </c>
      <c r="G38" s="43"/>
      <c r="H38" s="43"/>
      <c r="I38" s="43"/>
      <c r="J38" s="44"/>
    </row>
    <row r="39" spans="1:26" ht="11.25" customHeight="1" x14ac:dyDescent="0.25">
      <c r="A39" s="50"/>
      <c r="B39" s="51"/>
      <c r="C39" s="51"/>
      <c r="D39" s="51"/>
      <c r="E39" s="60"/>
      <c r="F39" s="45"/>
      <c r="G39" s="46"/>
      <c r="H39" s="46"/>
      <c r="I39" s="46"/>
      <c r="J39" s="47"/>
    </row>
    <row r="40" spans="1:26" ht="15.75" customHeight="1" x14ac:dyDescent="0.25">
      <c r="A40" s="48" t="s">
        <v>62</v>
      </c>
      <c r="B40" s="49"/>
      <c r="C40" s="49"/>
      <c r="D40" s="49"/>
      <c r="E40" s="49"/>
      <c r="F40" s="33"/>
      <c r="G40" s="29"/>
      <c r="H40" s="29"/>
      <c r="I40" s="29"/>
      <c r="J40" s="18"/>
    </row>
    <row r="41" spans="1:26" ht="11.25" customHeight="1" x14ac:dyDescent="0.25">
      <c r="A41" s="50"/>
      <c r="B41" s="51"/>
      <c r="C41" s="51"/>
      <c r="D41" s="51"/>
      <c r="E41" s="5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/>
    <row r="45" spans="1:26" ht="15.75" customHeight="1" x14ac:dyDescent="0.25"/>
    <row r="46" spans="1:26" ht="15.75" customHeight="1" x14ac:dyDescent="0.25"/>
    <row r="47" spans="1:26" ht="15.75" customHeight="1" x14ac:dyDescent="0.25"/>
    <row r="48" spans="1:26" ht="15.75" customHeight="1" x14ac:dyDescent="0.25"/>
    <row r="49" ht="15.75" customHeight="1" x14ac:dyDescent="0.25"/>
    <row r="50" ht="28.5" customHeight="1" x14ac:dyDescent="0.25"/>
    <row r="51" ht="15.75" customHeight="1" x14ac:dyDescent="0.25"/>
    <row r="52" ht="15.75" customHeight="1" x14ac:dyDescent="0.25"/>
    <row r="53" ht="15.75" customHeight="1" x14ac:dyDescent="0.25"/>
    <row r="54" ht="31.5" customHeight="1" x14ac:dyDescent="0.25"/>
    <row r="55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spans="1:1" ht="15.75" customHeight="1" x14ac:dyDescent="0.25"/>
    <row r="242" spans="1:1" ht="15.75" customHeight="1" x14ac:dyDescent="0.25"/>
    <row r="243" spans="1:1" ht="15.75" customHeight="1" x14ac:dyDescent="0.25"/>
    <row r="244" spans="1:1" ht="15.75" customHeight="1" x14ac:dyDescent="0.25"/>
    <row r="245" spans="1:1" ht="15.75" customHeight="1" x14ac:dyDescent="0.25"/>
    <row r="246" spans="1:1" ht="15.75" customHeight="1" x14ac:dyDescent="0.25"/>
    <row r="247" spans="1:1" ht="15.75" customHeight="1" x14ac:dyDescent="0.25"/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B34:E35"/>
    <mergeCell ref="A38:E39"/>
    <mergeCell ref="F38:J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B7DEF-FCD0-4409-BDC0-F9A6990A432A}">
  <sheetPr codeName="Sheet5"/>
  <dimension ref="A1:Z579"/>
  <sheetViews>
    <sheetView view="pageLayout" topLeftCell="A19" zoomScale="112" zoomScaleNormal="100" zoomScalePageLayoutView="112" workbookViewId="0">
      <selection activeCell="F32" sqref="F32"/>
    </sheetView>
  </sheetViews>
  <sheetFormatPr defaultColWidth="14.42578125" defaultRowHeight="15" customHeight="1" x14ac:dyDescent="0.25"/>
  <cols>
    <col min="1" max="1" width="12.85546875" style="37" customWidth="1"/>
    <col min="2" max="2" width="8" style="37" customWidth="1"/>
    <col min="3" max="3" width="11.28515625" style="37" customWidth="1"/>
    <col min="4" max="4" width="6" style="37" customWidth="1"/>
    <col min="5" max="5" width="6.85546875" style="37" customWidth="1"/>
    <col min="6" max="6" width="12.140625" style="37" customWidth="1"/>
    <col min="7" max="7" width="10" style="37" customWidth="1"/>
    <col min="8" max="8" width="8.5703125" style="37" customWidth="1"/>
    <col min="9" max="9" width="4.5703125" style="37" customWidth="1"/>
    <col min="10" max="10" width="6.7109375" style="37" customWidth="1"/>
    <col min="11" max="11" width="8" style="37" customWidth="1"/>
    <col min="12" max="16384" width="14.42578125" style="37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5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53"/>
    </row>
    <row r="3" spans="1:26" ht="15" customHeight="1" x14ac:dyDescent="0.25">
      <c r="A3" s="73" t="s">
        <v>2</v>
      </c>
      <c r="B3" s="72"/>
      <c r="C3" s="53"/>
      <c r="D3" s="74">
        <v>2024050029</v>
      </c>
      <c r="E3" s="72"/>
      <c r="F3" s="72"/>
      <c r="G3" s="72"/>
      <c r="H3" s="72"/>
      <c r="I3" s="72"/>
      <c r="J3" s="53"/>
    </row>
    <row r="4" spans="1:26" ht="15" customHeight="1" x14ac:dyDescent="0.25">
      <c r="A4" s="73" t="s">
        <v>3</v>
      </c>
      <c r="B4" s="72"/>
      <c r="C4" s="53"/>
      <c r="D4" s="75" t="s">
        <v>67</v>
      </c>
      <c r="E4" s="76"/>
      <c r="F4" s="76"/>
      <c r="G4" s="76"/>
      <c r="H4" s="76"/>
      <c r="I4" s="76"/>
      <c r="J4" s="77"/>
    </row>
    <row r="5" spans="1:26" ht="15" customHeight="1" x14ac:dyDescent="0.25">
      <c r="A5" s="78" t="s">
        <v>4</v>
      </c>
      <c r="B5" s="72"/>
      <c r="C5" s="72"/>
      <c r="D5" s="72"/>
      <c r="E5" s="72"/>
      <c r="F5" s="72"/>
      <c r="G5" s="72"/>
      <c r="H5" s="72"/>
      <c r="I5" s="72"/>
      <c r="J5" s="5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8" t="s">
        <v>5</v>
      </c>
      <c r="B6" s="72"/>
      <c r="C6" s="72"/>
      <c r="D6" s="72"/>
      <c r="E6" s="72"/>
      <c r="F6" s="72"/>
      <c r="G6" s="72"/>
      <c r="H6" s="72"/>
      <c r="I6" s="72"/>
      <c r="J6" s="53"/>
    </row>
    <row r="7" spans="1:26" ht="30" customHeight="1" x14ac:dyDescent="0.25">
      <c r="A7" s="79" t="s">
        <v>6</v>
      </c>
      <c r="B7" s="49"/>
      <c r="C7" s="80" t="s">
        <v>7</v>
      </c>
      <c r="D7" s="49"/>
      <c r="E7" s="49"/>
      <c r="F7" s="39" t="s">
        <v>8</v>
      </c>
      <c r="G7" s="69" t="s">
        <v>9</v>
      </c>
      <c r="H7" s="49"/>
      <c r="I7" s="49"/>
      <c r="J7" s="59"/>
    </row>
    <row r="8" spans="1:26" ht="15" customHeight="1" x14ac:dyDescent="0.25">
      <c r="A8" s="61" t="s">
        <v>10</v>
      </c>
      <c r="B8" s="56"/>
      <c r="C8" s="62" t="s">
        <v>11</v>
      </c>
      <c r="D8" s="56"/>
      <c r="E8" s="4"/>
      <c r="F8" s="41" t="s">
        <v>12</v>
      </c>
      <c r="G8" s="6" t="s">
        <v>13</v>
      </c>
      <c r="H8" s="6" t="s">
        <v>14</v>
      </c>
      <c r="I8" s="70"/>
      <c r="J8" s="57"/>
    </row>
    <row r="9" spans="1:26" ht="30" customHeight="1" x14ac:dyDescent="0.25">
      <c r="A9" s="61" t="s">
        <v>15</v>
      </c>
      <c r="B9" s="56"/>
      <c r="C9" s="62" t="s">
        <v>16</v>
      </c>
      <c r="D9" s="56"/>
      <c r="E9" s="36"/>
      <c r="F9" s="39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1" t="s">
        <v>20</v>
      </c>
      <c r="B10" s="56"/>
      <c r="C10" s="62" t="s">
        <v>21</v>
      </c>
      <c r="D10" s="56"/>
      <c r="E10" s="36"/>
      <c r="F10" s="39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1" t="s">
        <v>25</v>
      </c>
      <c r="B11" s="56"/>
      <c r="C11" s="62" t="s">
        <v>26</v>
      </c>
      <c r="D11" s="56"/>
      <c r="E11" s="36"/>
      <c r="F11" s="39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1" t="s">
        <v>30</v>
      </c>
      <c r="B12" s="56"/>
      <c r="C12" s="62" t="s">
        <v>31</v>
      </c>
      <c r="D12" s="56"/>
      <c r="E12" s="36"/>
      <c r="F12" s="39" t="s">
        <v>32</v>
      </c>
      <c r="G12" s="8" t="s">
        <v>33</v>
      </c>
      <c r="H12" s="8" t="s">
        <v>34</v>
      </c>
      <c r="I12" s="9"/>
      <c r="J12" s="10"/>
    </row>
    <row r="13" spans="1:26" ht="30" customHeight="1" x14ac:dyDescent="0.25">
      <c r="A13" s="61" t="s">
        <v>35</v>
      </c>
      <c r="B13" s="56"/>
      <c r="C13" s="62" t="s">
        <v>36</v>
      </c>
      <c r="D13" s="56"/>
      <c r="E13" s="36"/>
      <c r="F13" s="39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1" t="s">
        <v>40</v>
      </c>
      <c r="B14" s="56"/>
      <c r="C14" s="62" t="s">
        <v>41</v>
      </c>
      <c r="D14" s="56"/>
      <c r="E14" s="36"/>
      <c r="F14" s="68" t="s">
        <v>42</v>
      </c>
      <c r="G14" s="56"/>
      <c r="H14" s="56"/>
      <c r="I14" s="67" t="s">
        <v>43</v>
      </c>
      <c r="J14" s="57"/>
    </row>
    <row r="15" spans="1:26" ht="15" customHeight="1" x14ac:dyDescent="0.25">
      <c r="A15" s="61" t="s">
        <v>44</v>
      </c>
      <c r="B15" s="56"/>
      <c r="C15" s="62" t="s">
        <v>45</v>
      </c>
      <c r="D15" s="56"/>
      <c r="E15" s="36"/>
      <c r="F15" s="62" t="s">
        <v>63</v>
      </c>
      <c r="G15" s="56"/>
      <c r="H15" s="56"/>
      <c r="I15" s="63">
        <v>45808</v>
      </c>
      <c r="J15" s="64"/>
    </row>
    <row r="16" spans="1:26" ht="15" customHeight="1" x14ac:dyDescent="0.25">
      <c r="A16" s="61" t="s">
        <v>46</v>
      </c>
      <c r="B16" s="56"/>
      <c r="C16" s="65" t="s">
        <v>47</v>
      </c>
      <c r="D16" s="56"/>
      <c r="E16" s="56"/>
      <c r="F16" s="66" t="s">
        <v>64</v>
      </c>
      <c r="G16" s="56"/>
      <c r="H16" s="56"/>
      <c r="I16" s="63">
        <v>45716</v>
      </c>
      <c r="J16" s="64"/>
    </row>
    <row r="17" spans="1:26" ht="15" customHeight="1" x14ac:dyDescent="0.25">
      <c r="A17" s="38"/>
      <c r="B17" s="39"/>
      <c r="C17" s="40"/>
      <c r="D17" s="40"/>
      <c r="E17" s="40"/>
      <c r="F17" s="66" t="s">
        <v>65</v>
      </c>
      <c r="G17" s="56"/>
      <c r="H17" s="56"/>
      <c r="I17" s="63">
        <v>45688</v>
      </c>
      <c r="J17" s="6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9" t="s">
        <v>66</v>
      </c>
      <c r="G18" s="51"/>
      <c r="H18" s="51"/>
      <c r="I18" s="90">
        <v>46142</v>
      </c>
      <c r="J18" s="91"/>
    </row>
    <row r="19" spans="1:26" x14ac:dyDescent="0.25">
      <c r="A19" s="85" t="s">
        <v>48</v>
      </c>
      <c r="B19" s="72"/>
      <c r="C19" s="72"/>
      <c r="D19" s="72"/>
      <c r="E19" s="72"/>
      <c r="F19" s="72"/>
      <c r="G19" s="72"/>
      <c r="H19" s="72"/>
      <c r="I19" s="72"/>
      <c r="J19" s="53"/>
    </row>
    <row r="20" spans="1:26" ht="26.25" customHeight="1" x14ac:dyDescent="0.25">
      <c r="A20" s="84" t="s">
        <v>49</v>
      </c>
      <c r="B20" s="49"/>
      <c r="C20" s="35">
        <v>37.588999999999999</v>
      </c>
      <c r="D20" s="16" t="s">
        <v>50</v>
      </c>
      <c r="E20" s="17">
        <v>1000</v>
      </c>
      <c r="F20" s="81" t="s">
        <v>51</v>
      </c>
      <c r="G20" s="49"/>
      <c r="H20" s="82" t="str">
        <f>IF(AND(C21&lt;0.15),"&lt;0.15",C21)</f>
        <v>&lt;0.15</v>
      </c>
      <c r="I20" s="72"/>
      <c r="J20" s="18" t="s">
        <v>52</v>
      </c>
    </row>
    <row r="21" spans="1:26" ht="15.75" customHeight="1" x14ac:dyDescent="0.25">
      <c r="A21" s="19" t="s">
        <v>53</v>
      </c>
      <c r="B21" s="1"/>
      <c r="C21" s="52">
        <f>C20/1000</f>
        <v>3.7588999999999997E-2</v>
      </c>
      <c r="D21" s="53"/>
      <c r="E21" s="20"/>
      <c r="F21" s="1"/>
      <c r="G21" s="1"/>
      <c r="H21" s="1"/>
      <c r="I21" s="1"/>
      <c r="J21" s="18"/>
    </row>
    <row r="22" spans="1:26" ht="15.75" customHeight="1" x14ac:dyDescent="0.25">
      <c r="A22" s="85" t="s">
        <v>56</v>
      </c>
      <c r="B22" s="72"/>
      <c r="C22" s="72"/>
      <c r="D22" s="72"/>
      <c r="E22" s="72"/>
      <c r="F22" s="72"/>
      <c r="G22" s="72"/>
      <c r="H22" s="72"/>
      <c r="I22" s="72"/>
      <c r="J22" s="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4" t="s">
        <v>49</v>
      </c>
      <c r="B23" s="49"/>
      <c r="C23" s="35">
        <v>6.4589999999999996</v>
      </c>
      <c r="D23" s="16" t="s">
        <v>50</v>
      </c>
      <c r="E23" s="21">
        <v>1000</v>
      </c>
      <c r="F23" s="81" t="s">
        <v>51</v>
      </c>
      <c r="G23" s="49"/>
      <c r="H23" s="82" t="str">
        <f>IF(AND(C24&lt;0.15),"&lt;0.15",C24)</f>
        <v>&lt;0.15</v>
      </c>
      <c r="I23" s="72"/>
      <c r="J23" s="18" t="s">
        <v>52</v>
      </c>
    </row>
    <row r="24" spans="1:26" ht="15.75" customHeight="1" x14ac:dyDescent="0.25">
      <c r="A24" s="19" t="s">
        <v>53</v>
      </c>
      <c r="B24" s="1"/>
      <c r="C24" s="52">
        <f>C23/1000</f>
        <v>6.4589999999999995E-3</v>
      </c>
      <c r="D24" s="53"/>
      <c r="E24" s="20"/>
      <c r="F24" s="1"/>
      <c r="G24" s="1"/>
      <c r="H24" s="1"/>
      <c r="I24" s="1"/>
      <c r="J24" s="18"/>
    </row>
    <row r="25" spans="1:26" ht="15.75" customHeight="1" x14ac:dyDescent="0.25">
      <c r="A25" s="85" t="s">
        <v>54</v>
      </c>
      <c r="B25" s="72"/>
      <c r="C25" s="72"/>
      <c r="D25" s="72"/>
      <c r="E25" s="72"/>
      <c r="F25" s="72"/>
      <c r="G25" s="72"/>
      <c r="H25" s="72"/>
      <c r="I25" s="72"/>
      <c r="J25" s="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83" t="s">
        <v>49</v>
      </c>
      <c r="B26" s="56"/>
      <c r="C26" s="35">
        <v>58.694000000000003</v>
      </c>
      <c r="D26" s="16" t="s">
        <v>50</v>
      </c>
      <c r="E26" s="21">
        <v>1000</v>
      </c>
      <c r="F26" s="86" t="s">
        <v>51</v>
      </c>
      <c r="G26" s="49"/>
      <c r="H26" s="82" t="str">
        <f>IF(AND(C27&lt;0.15),"&lt;0.15",C27)</f>
        <v>&lt;0.15</v>
      </c>
      <c r="I26" s="72"/>
      <c r="J26" s="22" t="s">
        <v>52</v>
      </c>
    </row>
    <row r="27" spans="1:26" ht="15.75" customHeight="1" x14ac:dyDescent="0.25">
      <c r="A27" s="19" t="s">
        <v>53</v>
      </c>
      <c r="B27" s="1"/>
      <c r="C27" s="87">
        <f>C26/1000</f>
        <v>5.8694000000000003E-2</v>
      </c>
      <c r="D27" s="59"/>
      <c r="E27" s="20"/>
      <c r="F27" s="1"/>
      <c r="G27" s="1"/>
      <c r="H27" s="1"/>
      <c r="I27" s="1"/>
      <c r="J27" s="18"/>
    </row>
    <row r="28" spans="1:26" ht="15.75" customHeight="1" x14ac:dyDescent="0.25">
      <c r="A28" s="85" t="s">
        <v>55</v>
      </c>
      <c r="B28" s="72"/>
      <c r="C28" s="72"/>
      <c r="D28" s="72"/>
      <c r="E28" s="72"/>
      <c r="F28" s="72"/>
      <c r="G28" s="72"/>
      <c r="H28" s="72"/>
      <c r="I28" s="72"/>
      <c r="J28" s="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83" t="s">
        <v>49</v>
      </c>
      <c r="B29" s="56"/>
      <c r="C29" s="35">
        <v>151.154</v>
      </c>
      <c r="D29" s="16" t="s">
        <v>50</v>
      </c>
      <c r="E29" s="21">
        <v>1000</v>
      </c>
      <c r="F29" s="88" t="s">
        <v>51</v>
      </c>
      <c r="G29" s="56"/>
      <c r="H29" s="82">
        <f>IF(AND(C30&lt;0.15),"&lt;0.15",C30)</f>
        <v>0.15115399999999998</v>
      </c>
      <c r="I29" s="72"/>
      <c r="J29" s="18" t="s">
        <v>52</v>
      </c>
    </row>
    <row r="30" spans="1:26" ht="15.75" customHeight="1" x14ac:dyDescent="0.25">
      <c r="A30" s="19" t="s">
        <v>53</v>
      </c>
      <c r="B30" s="1"/>
      <c r="C30" s="52">
        <f>C29/1000</f>
        <v>0.15115399999999998</v>
      </c>
      <c r="D30" s="53"/>
      <c r="E30" s="20"/>
      <c r="F30" s="1"/>
      <c r="G30" s="1"/>
      <c r="H30" s="1"/>
      <c r="I30" s="1"/>
      <c r="J30" s="18"/>
    </row>
    <row r="31" spans="1:26" ht="15.75" customHeight="1" x14ac:dyDescent="0.25">
      <c r="A31" s="54" t="s">
        <v>57</v>
      </c>
      <c r="B31" s="49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55" t="s">
        <v>59</v>
      </c>
      <c r="C32" s="56"/>
      <c r="D32" s="56"/>
      <c r="E32" s="57"/>
      <c r="F32" s="1"/>
      <c r="G32" s="1"/>
      <c r="H32" s="1"/>
      <c r="I32" s="1"/>
      <c r="J32" s="18"/>
    </row>
    <row r="33" spans="1:26" ht="15.75" customHeight="1" x14ac:dyDescent="0.25">
      <c r="A33" s="26"/>
      <c r="B33" s="56"/>
      <c r="C33" s="56"/>
      <c r="D33" s="56"/>
      <c r="E33" s="57"/>
      <c r="F33" s="27"/>
      <c r="G33" s="1"/>
      <c r="H33" s="1"/>
      <c r="I33" s="1"/>
      <c r="J33" s="18"/>
    </row>
    <row r="34" spans="1:26" ht="15.75" customHeight="1" x14ac:dyDescent="0.25">
      <c r="A34" s="28"/>
      <c r="B34" s="55" t="s">
        <v>60</v>
      </c>
      <c r="C34" s="56"/>
      <c r="D34" s="56"/>
      <c r="E34" s="57"/>
      <c r="F34" s="1"/>
      <c r="G34" s="1"/>
      <c r="H34" s="1"/>
      <c r="I34" s="1"/>
      <c r="J34" s="18"/>
    </row>
    <row r="35" spans="1:26" ht="15.75" customHeight="1" x14ac:dyDescent="0.25">
      <c r="A35" s="28"/>
      <c r="B35" s="56"/>
      <c r="C35" s="56"/>
      <c r="D35" s="56"/>
      <c r="E35" s="57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8" t="s">
        <v>61</v>
      </c>
      <c r="B38" s="49"/>
      <c r="C38" s="49"/>
      <c r="D38" s="49"/>
      <c r="E38" s="59"/>
      <c r="F38" s="42" t="s">
        <v>68</v>
      </c>
      <c r="G38" s="43"/>
      <c r="H38" s="43"/>
      <c r="I38" s="43"/>
      <c r="J38" s="44"/>
    </row>
    <row r="39" spans="1:26" ht="11.25" customHeight="1" x14ac:dyDescent="0.25">
      <c r="A39" s="50"/>
      <c r="B39" s="51"/>
      <c r="C39" s="51"/>
      <c r="D39" s="51"/>
      <c r="E39" s="60"/>
      <c r="F39" s="45"/>
      <c r="G39" s="46"/>
      <c r="H39" s="46"/>
      <c r="I39" s="46"/>
      <c r="J39" s="47"/>
    </row>
    <row r="40" spans="1:26" ht="15.75" customHeight="1" x14ac:dyDescent="0.25">
      <c r="A40" s="48" t="s">
        <v>62</v>
      </c>
      <c r="B40" s="49"/>
      <c r="C40" s="49"/>
      <c r="D40" s="49"/>
      <c r="E40" s="49"/>
      <c r="F40" s="33"/>
      <c r="G40" s="29"/>
      <c r="H40" s="29"/>
      <c r="I40" s="29"/>
      <c r="J40" s="18"/>
    </row>
    <row r="41" spans="1:26" ht="11.25" customHeight="1" x14ac:dyDescent="0.25">
      <c r="A41" s="50"/>
      <c r="B41" s="51"/>
      <c r="C41" s="51"/>
      <c r="D41" s="51"/>
      <c r="E41" s="5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/>
    <row r="45" spans="1:26" ht="15.75" customHeight="1" x14ac:dyDescent="0.25"/>
    <row r="46" spans="1:26" ht="15.75" customHeight="1" x14ac:dyDescent="0.25"/>
    <row r="47" spans="1:26" ht="15.75" customHeight="1" x14ac:dyDescent="0.25"/>
    <row r="48" spans="1:26" ht="15.75" customHeight="1" x14ac:dyDescent="0.25"/>
    <row r="49" ht="15.75" customHeight="1" x14ac:dyDescent="0.25"/>
    <row r="50" ht="28.5" customHeight="1" x14ac:dyDescent="0.25"/>
    <row r="51" ht="15.75" customHeight="1" x14ac:dyDescent="0.25"/>
    <row r="52" ht="15.75" customHeight="1" x14ac:dyDescent="0.25"/>
    <row r="53" ht="15.75" customHeight="1" x14ac:dyDescent="0.25"/>
    <row r="54" ht="31.5" customHeight="1" x14ac:dyDescent="0.25"/>
    <row r="55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spans="1:1" ht="15.75" customHeight="1" x14ac:dyDescent="0.25"/>
    <row r="242" spans="1:1" ht="15.75" customHeight="1" x14ac:dyDescent="0.25"/>
    <row r="243" spans="1:1" ht="15.75" customHeight="1" x14ac:dyDescent="0.25"/>
    <row r="244" spans="1:1" ht="15.75" customHeight="1" x14ac:dyDescent="0.25"/>
    <row r="245" spans="1:1" ht="15.75" customHeight="1" x14ac:dyDescent="0.25"/>
    <row r="246" spans="1:1" ht="15.75" customHeight="1" x14ac:dyDescent="0.25"/>
    <row r="247" spans="1:1" ht="15.75" customHeight="1" x14ac:dyDescent="0.25"/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B34:E35"/>
    <mergeCell ref="A38:E39"/>
    <mergeCell ref="F38:J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BCE52-5F3D-4229-82A9-1367DFEC5C1A}">
  <sheetPr codeName="Sheet6"/>
  <dimension ref="A1:Z579"/>
  <sheetViews>
    <sheetView view="pageLayout" topLeftCell="A26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7" customWidth="1"/>
    <col min="2" max="2" width="8" style="37" customWidth="1"/>
    <col min="3" max="3" width="11.28515625" style="37" customWidth="1"/>
    <col min="4" max="4" width="6" style="37" customWidth="1"/>
    <col min="5" max="5" width="6.85546875" style="37" customWidth="1"/>
    <col min="6" max="6" width="12.140625" style="37" customWidth="1"/>
    <col min="7" max="7" width="10" style="37" customWidth="1"/>
    <col min="8" max="8" width="8.5703125" style="37" customWidth="1"/>
    <col min="9" max="9" width="4.5703125" style="37" customWidth="1"/>
    <col min="10" max="10" width="6.7109375" style="37" customWidth="1"/>
    <col min="11" max="11" width="8" style="37" customWidth="1"/>
    <col min="12" max="16384" width="14.42578125" style="37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5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53"/>
    </row>
    <row r="3" spans="1:26" ht="15" customHeight="1" x14ac:dyDescent="0.25">
      <c r="A3" s="73" t="s">
        <v>2</v>
      </c>
      <c r="B3" s="72"/>
      <c r="C3" s="53"/>
      <c r="D3" s="74">
        <v>2024050030</v>
      </c>
      <c r="E3" s="72"/>
      <c r="F3" s="72"/>
      <c r="G3" s="72"/>
      <c r="H3" s="72"/>
      <c r="I3" s="72"/>
      <c r="J3" s="53"/>
    </row>
    <row r="4" spans="1:26" ht="15" customHeight="1" x14ac:dyDescent="0.25">
      <c r="A4" s="73" t="s">
        <v>3</v>
      </c>
      <c r="B4" s="72"/>
      <c r="C4" s="53"/>
      <c r="D4" s="75" t="s">
        <v>67</v>
      </c>
      <c r="E4" s="76"/>
      <c r="F4" s="76"/>
      <c r="G4" s="76"/>
      <c r="H4" s="76"/>
      <c r="I4" s="76"/>
      <c r="J4" s="77"/>
    </row>
    <row r="5" spans="1:26" ht="15" customHeight="1" x14ac:dyDescent="0.25">
      <c r="A5" s="78" t="s">
        <v>4</v>
      </c>
      <c r="B5" s="72"/>
      <c r="C5" s="72"/>
      <c r="D5" s="72"/>
      <c r="E5" s="72"/>
      <c r="F5" s="72"/>
      <c r="G5" s="72"/>
      <c r="H5" s="72"/>
      <c r="I5" s="72"/>
      <c r="J5" s="5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8" t="s">
        <v>5</v>
      </c>
      <c r="B6" s="72"/>
      <c r="C6" s="72"/>
      <c r="D6" s="72"/>
      <c r="E6" s="72"/>
      <c r="F6" s="72"/>
      <c r="G6" s="72"/>
      <c r="H6" s="72"/>
      <c r="I6" s="72"/>
      <c r="J6" s="53"/>
    </row>
    <row r="7" spans="1:26" ht="30" customHeight="1" x14ac:dyDescent="0.25">
      <c r="A7" s="79" t="s">
        <v>6</v>
      </c>
      <c r="B7" s="49"/>
      <c r="C7" s="80" t="s">
        <v>7</v>
      </c>
      <c r="D7" s="49"/>
      <c r="E7" s="49"/>
      <c r="F7" s="39" t="s">
        <v>8</v>
      </c>
      <c r="G7" s="69" t="s">
        <v>9</v>
      </c>
      <c r="H7" s="49"/>
      <c r="I7" s="49"/>
      <c r="J7" s="59"/>
    </row>
    <row r="8" spans="1:26" ht="15" customHeight="1" x14ac:dyDescent="0.25">
      <c r="A8" s="61" t="s">
        <v>10</v>
      </c>
      <c r="B8" s="56"/>
      <c r="C8" s="62" t="s">
        <v>11</v>
      </c>
      <c r="D8" s="56"/>
      <c r="E8" s="4"/>
      <c r="F8" s="41" t="s">
        <v>12</v>
      </c>
      <c r="G8" s="6" t="s">
        <v>13</v>
      </c>
      <c r="H8" s="6" t="s">
        <v>14</v>
      </c>
      <c r="I8" s="70"/>
      <c r="J8" s="57"/>
    </row>
    <row r="9" spans="1:26" ht="30" customHeight="1" x14ac:dyDescent="0.25">
      <c r="A9" s="61" t="s">
        <v>15</v>
      </c>
      <c r="B9" s="56"/>
      <c r="C9" s="62" t="s">
        <v>16</v>
      </c>
      <c r="D9" s="56"/>
      <c r="E9" s="36"/>
      <c r="F9" s="39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1" t="s">
        <v>20</v>
      </c>
      <c r="B10" s="56"/>
      <c r="C10" s="62" t="s">
        <v>21</v>
      </c>
      <c r="D10" s="56"/>
      <c r="E10" s="36"/>
      <c r="F10" s="39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1" t="s">
        <v>25</v>
      </c>
      <c r="B11" s="56"/>
      <c r="C11" s="62" t="s">
        <v>26</v>
      </c>
      <c r="D11" s="56"/>
      <c r="E11" s="36"/>
      <c r="F11" s="39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1" t="s">
        <v>30</v>
      </c>
      <c r="B12" s="56"/>
      <c r="C12" s="62" t="s">
        <v>31</v>
      </c>
      <c r="D12" s="56"/>
      <c r="E12" s="36"/>
      <c r="F12" s="39" t="s">
        <v>32</v>
      </c>
      <c r="G12" s="8" t="s">
        <v>33</v>
      </c>
      <c r="H12" s="8" t="s">
        <v>34</v>
      </c>
      <c r="I12" s="9"/>
      <c r="J12" s="10"/>
    </row>
    <row r="13" spans="1:26" ht="30" customHeight="1" x14ac:dyDescent="0.25">
      <c r="A13" s="61" t="s">
        <v>35</v>
      </c>
      <c r="B13" s="56"/>
      <c r="C13" s="62" t="s">
        <v>36</v>
      </c>
      <c r="D13" s="56"/>
      <c r="E13" s="36"/>
      <c r="F13" s="39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1" t="s">
        <v>40</v>
      </c>
      <c r="B14" s="56"/>
      <c r="C14" s="62" t="s">
        <v>41</v>
      </c>
      <c r="D14" s="56"/>
      <c r="E14" s="36"/>
      <c r="F14" s="68" t="s">
        <v>42</v>
      </c>
      <c r="G14" s="56"/>
      <c r="H14" s="56"/>
      <c r="I14" s="67" t="s">
        <v>43</v>
      </c>
      <c r="J14" s="57"/>
    </row>
    <row r="15" spans="1:26" ht="15" customHeight="1" x14ac:dyDescent="0.25">
      <c r="A15" s="61" t="s">
        <v>44</v>
      </c>
      <c r="B15" s="56"/>
      <c r="C15" s="62" t="s">
        <v>45</v>
      </c>
      <c r="D15" s="56"/>
      <c r="E15" s="36"/>
      <c r="F15" s="62" t="s">
        <v>63</v>
      </c>
      <c r="G15" s="56"/>
      <c r="H15" s="56"/>
      <c r="I15" s="63">
        <v>45808</v>
      </c>
      <c r="J15" s="64"/>
    </row>
    <row r="16" spans="1:26" ht="15" customHeight="1" x14ac:dyDescent="0.25">
      <c r="A16" s="61" t="s">
        <v>46</v>
      </c>
      <c r="B16" s="56"/>
      <c r="C16" s="65" t="s">
        <v>47</v>
      </c>
      <c r="D16" s="56"/>
      <c r="E16" s="56"/>
      <c r="F16" s="66" t="s">
        <v>64</v>
      </c>
      <c r="G16" s="56"/>
      <c r="H16" s="56"/>
      <c r="I16" s="63">
        <v>45716</v>
      </c>
      <c r="J16" s="64"/>
    </row>
    <row r="17" spans="1:26" ht="15" customHeight="1" x14ac:dyDescent="0.25">
      <c r="A17" s="38"/>
      <c r="B17" s="39"/>
      <c r="C17" s="40"/>
      <c r="D17" s="40"/>
      <c r="E17" s="40"/>
      <c r="F17" s="66" t="s">
        <v>65</v>
      </c>
      <c r="G17" s="56"/>
      <c r="H17" s="56"/>
      <c r="I17" s="63">
        <v>45688</v>
      </c>
      <c r="J17" s="6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9" t="s">
        <v>66</v>
      </c>
      <c r="G18" s="51"/>
      <c r="H18" s="51"/>
      <c r="I18" s="90">
        <v>46142</v>
      </c>
      <c r="J18" s="91"/>
    </row>
    <row r="19" spans="1:26" x14ac:dyDescent="0.25">
      <c r="A19" s="85" t="s">
        <v>48</v>
      </c>
      <c r="B19" s="72"/>
      <c r="C19" s="72"/>
      <c r="D19" s="72"/>
      <c r="E19" s="72"/>
      <c r="F19" s="72"/>
      <c r="G19" s="72"/>
      <c r="H19" s="72"/>
      <c r="I19" s="72"/>
      <c r="J19" s="53"/>
    </row>
    <row r="20" spans="1:26" ht="26.25" customHeight="1" x14ac:dyDescent="0.25">
      <c r="A20" s="84" t="s">
        <v>49</v>
      </c>
      <c r="B20" s="49"/>
      <c r="C20" s="35">
        <v>203.512</v>
      </c>
      <c r="D20" s="16" t="s">
        <v>50</v>
      </c>
      <c r="E20" s="17">
        <v>1000</v>
      </c>
      <c r="F20" s="81" t="s">
        <v>51</v>
      </c>
      <c r="G20" s="49"/>
      <c r="H20" s="82">
        <f>IF(AND(C21&lt;0.15),"&lt;0.15",C21)</f>
        <v>0.203512</v>
      </c>
      <c r="I20" s="72"/>
      <c r="J20" s="18" t="s">
        <v>52</v>
      </c>
    </row>
    <row r="21" spans="1:26" ht="15.75" customHeight="1" x14ac:dyDescent="0.25">
      <c r="A21" s="19" t="s">
        <v>53</v>
      </c>
      <c r="B21" s="1"/>
      <c r="C21" s="52">
        <f>C20/1000</f>
        <v>0.203512</v>
      </c>
      <c r="D21" s="53"/>
      <c r="E21" s="20"/>
      <c r="F21" s="1"/>
      <c r="G21" s="1"/>
      <c r="H21" s="1"/>
      <c r="I21" s="1"/>
      <c r="J21" s="18"/>
    </row>
    <row r="22" spans="1:26" ht="15.75" customHeight="1" x14ac:dyDescent="0.25">
      <c r="A22" s="85" t="s">
        <v>56</v>
      </c>
      <c r="B22" s="72"/>
      <c r="C22" s="72"/>
      <c r="D22" s="72"/>
      <c r="E22" s="72"/>
      <c r="F22" s="72"/>
      <c r="G22" s="72"/>
      <c r="H22" s="72"/>
      <c r="I22" s="72"/>
      <c r="J22" s="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4" t="s">
        <v>49</v>
      </c>
      <c r="B23" s="49"/>
      <c r="C23" s="35">
        <v>53.731000000000002</v>
      </c>
      <c r="D23" s="16" t="s">
        <v>50</v>
      </c>
      <c r="E23" s="21">
        <v>1000</v>
      </c>
      <c r="F23" s="81" t="s">
        <v>51</v>
      </c>
      <c r="G23" s="49"/>
      <c r="H23" s="82" t="str">
        <f>IF(AND(C24&lt;0.15),"&lt;0.15",C24)</f>
        <v>&lt;0.15</v>
      </c>
      <c r="I23" s="72"/>
      <c r="J23" s="18" t="s">
        <v>52</v>
      </c>
    </row>
    <row r="24" spans="1:26" ht="15.75" customHeight="1" x14ac:dyDescent="0.25">
      <c r="A24" s="19" t="s">
        <v>53</v>
      </c>
      <c r="B24" s="1"/>
      <c r="C24" s="52">
        <f>C23/1000</f>
        <v>5.3731000000000001E-2</v>
      </c>
      <c r="D24" s="53"/>
      <c r="E24" s="20"/>
      <c r="F24" s="1"/>
      <c r="G24" s="1"/>
      <c r="H24" s="1"/>
      <c r="I24" s="1"/>
      <c r="J24" s="18"/>
    </row>
    <row r="25" spans="1:26" ht="15.75" customHeight="1" x14ac:dyDescent="0.25">
      <c r="A25" s="85" t="s">
        <v>54</v>
      </c>
      <c r="B25" s="72"/>
      <c r="C25" s="72"/>
      <c r="D25" s="72"/>
      <c r="E25" s="72"/>
      <c r="F25" s="72"/>
      <c r="G25" s="72"/>
      <c r="H25" s="72"/>
      <c r="I25" s="72"/>
      <c r="J25" s="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83" t="s">
        <v>49</v>
      </c>
      <c r="B26" s="56"/>
      <c r="C26" s="35">
        <v>47.051000000000002</v>
      </c>
      <c r="D26" s="16" t="s">
        <v>50</v>
      </c>
      <c r="E26" s="21">
        <v>1000</v>
      </c>
      <c r="F26" s="86" t="s">
        <v>51</v>
      </c>
      <c r="G26" s="49"/>
      <c r="H26" s="82" t="str">
        <f>IF(AND(C27&lt;0.15),"&lt;0.15",C27)</f>
        <v>&lt;0.15</v>
      </c>
      <c r="I26" s="72"/>
      <c r="J26" s="22" t="s">
        <v>52</v>
      </c>
    </row>
    <row r="27" spans="1:26" ht="15.75" customHeight="1" x14ac:dyDescent="0.25">
      <c r="A27" s="19" t="s">
        <v>53</v>
      </c>
      <c r="B27" s="1"/>
      <c r="C27" s="87">
        <f>C26/1000</f>
        <v>4.7051000000000003E-2</v>
      </c>
      <c r="D27" s="59"/>
      <c r="E27" s="20"/>
      <c r="F27" s="1"/>
      <c r="G27" s="1"/>
      <c r="H27" s="1"/>
      <c r="I27" s="1"/>
      <c r="J27" s="18"/>
    </row>
    <row r="28" spans="1:26" ht="15.75" customHeight="1" x14ac:dyDescent="0.25">
      <c r="A28" s="85" t="s">
        <v>55</v>
      </c>
      <c r="B28" s="72"/>
      <c r="C28" s="72"/>
      <c r="D28" s="72"/>
      <c r="E28" s="72"/>
      <c r="F28" s="72"/>
      <c r="G28" s="72"/>
      <c r="H28" s="72"/>
      <c r="I28" s="72"/>
      <c r="J28" s="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83" t="s">
        <v>49</v>
      </c>
      <c r="B29" s="56"/>
      <c r="C29" s="35">
        <v>352.92399999999998</v>
      </c>
      <c r="D29" s="16" t="s">
        <v>50</v>
      </c>
      <c r="E29" s="21">
        <v>1000</v>
      </c>
      <c r="F29" s="88" t="s">
        <v>51</v>
      </c>
      <c r="G29" s="56"/>
      <c r="H29" s="82">
        <f>IF(AND(C30&lt;0.15),"&lt;0.15",C30)</f>
        <v>0.35292399999999996</v>
      </c>
      <c r="I29" s="72"/>
      <c r="J29" s="18" t="s">
        <v>52</v>
      </c>
    </row>
    <row r="30" spans="1:26" ht="15.75" customHeight="1" x14ac:dyDescent="0.25">
      <c r="A30" s="19" t="s">
        <v>53</v>
      </c>
      <c r="B30" s="1"/>
      <c r="C30" s="52">
        <f>C29/1000</f>
        <v>0.35292399999999996</v>
      </c>
      <c r="D30" s="53"/>
      <c r="E30" s="20"/>
      <c r="F30" s="1"/>
      <c r="G30" s="1"/>
      <c r="H30" s="1"/>
      <c r="I30" s="1"/>
      <c r="J30" s="18"/>
    </row>
    <row r="31" spans="1:26" ht="15.75" customHeight="1" x14ac:dyDescent="0.25">
      <c r="A31" s="54" t="s">
        <v>57</v>
      </c>
      <c r="B31" s="49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55" t="s">
        <v>59</v>
      </c>
      <c r="C32" s="56"/>
      <c r="D32" s="56"/>
      <c r="E32" s="57"/>
      <c r="F32" s="1"/>
      <c r="G32" s="1"/>
      <c r="H32" s="1"/>
      <c r="I32" s="1"/>
      <c r="J32" s="18"/>
    </row>
    <row r="33" spans="1:26" ht="15.75" customHeight="1" x14ac:dyDescent="0.25">
      <c r="A33" s="26"/>
      <c r="B33" s="56"/>
      <c r="C33" s="56"/>
      <c r="D33" s="56"/>
      <c r="E33" s="57"/>
      <c r="F33" s="27"/>
      <c r="G33" s="1"/>
      <c r="H33" s="1"/>
      <c r="I33" s="1"/>
      <c r="J33" s="18"/>
    </row>
    <row r="34" spans="1:26" ht="15.75" customHeight="1" x14ac:dyDescent="0.25">
      <c r="A34" s="28"/>
      <c r="B34" s="55" t="s">
        <v>60</v>
      </c>
      <c r="C34" s="56"/>
      <c r="D34" s="56"/>
      <c r="E34" s="57"/>
      <c r="F34" s="1"/>
      <c r="G34" s="1"/>
      <c r="H34" s="1"/>
      <c r="I34" s="1"/>
      <c r="J34" s="18"/>
    </row>
    <row r="35" spans="1:26" ht="15.75" customHeight="1" x14ac:dyDescent="0.25">
      <c r="A35" s="28"/>
      <c r="B35" s="56"/>
      <c r="C35" s="56"/>
      <c r="D35" s="56"/>
      <c r="E35" s="57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8" t="s">
        <v>61</v>
      </c>
      <c r="B38" s="49"/>
      <c r="C38" s="49"/>
      <c r="D38" s="49"/>
      <c r="E38" s="59"/>
      <c r="F38" s="42" t="s">
        <v>68</v>
      </c>
      <c r="G38" s="43"/>
      <c r="H38" s="43"/>
      <c r="I38" s="43"/>
      <c r="J38" s="44"/>
    </row>
    <row r="39" spans="1:26" ht="11.25" customHeight="1" x14ac:dyDescent="0.25">
      <c r="A39" s="50"/>
      <c r="B39" s="51"/>
      <c r="C39" s="51"/>
      <c r="D39" s="51"/>
      <c r="E39" s="60"/>
      <c r="F39" s="45"/>
      <c r="G39" s="46"/>
      <c r="H39" s="46"/>
      <c r="I39" s="46"/>
      <c r="J39" s="47"/>
    </row>
    <row r="40" spans="1:26" ht="15.75" customHeight="1" x14ac:dyDescent="0.25">
      <c r="A40" s="48" t="s">
        <v>62</v>
      </c>
      <c r="B40" s="49"/>
      <c r="C40" s="49"/>
      <c r="D40" s="49"/>
      <c r="E40" s="49"/>
      <c r="F40" s="33"/>
      <c r="G40" s="29"/>
      <c r="H40" s="29"/>
      <c r="I40" s="29"/>
      <c r="J40" s="18"/>
    </row>
    <row r="41" spans="1:26" ht="11.25" customHeight="1" x14ac:dyDescent="0.25">
      <c r="A41" s="50"/>
      <c r="B41" s="51"/>
      <c r="C41" s="51"/>
      <c r="D41" s="51"/>
      <c r="E41" s="5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/>
    <row r="45" spans="1:26" ht="15.75" customHeight="1" x14ac:dyDescent="0.25"/>
    <row r="46" spans="1:26" ht="15.75" customHeight="1" x14ac:dyDescent="0.25"/>
    <row r="47" spans="1:26" ht="15.75" customHeight="1" x14ac:dyDescent="0.25"/>
    <row r="48" spans="1:26" ht="15.75" customHeight="1" x14ac:dyDescent="0.25"/>
    <row r="49" ht="15.75" customHeight="1" x14ac:dyDescent="0.25"/>
    <row r="50" ht="28.5" customHeight="1" x14ac:dyDescent="0.25"/>
    <row r="51" ht="15.75" customHeight="1" x14ac:dyDescent="0.25"/>
    <row r="52" ht="15.75" customHeight="1" x14ac:dyDescent="0.25"/>
    <row r="53" ht="15.75" customHeight="1" x14ac:dyDescent="0.25"/>
    <row r="54" ht="31.5" customHeight="1" x14ac:dyDescent="0.25"/>
    <row r="55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spans="1:1" ht="15.75" customHeight="1" x14ac:dyDescent="0.25"/>
    <row r="242" spans="1:1" ht="15.75" customHeight="1" x14ac:dyDescent="0.25"/>
    <row r="243" spans="1:1" ht="15.75" customHeight="1" x14ac:dyDescent="0.25"/>
    <row r="244" spans="1:1" ht="15.75" customHeight="1" x14ac:dyDescent="0.25"/>
    <row r="245" spans="1:1" ht="15.75" customHeight="1" x14ac:dyDescent="0.25"/>
    <row r="246" spans="1:1" ht="15.75" customHeight="1" x14ac:dyDescent="0.25"/>
    <row r="247" spans="1:1" ht="15.75" customHeight="1" x14ac:dyDescent="0.25"/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B34:E35"/>
    <mergeCell ref="A38:E39"/>
    <mergeCell ref="F38:J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AFF21-92F2-4EA7-A9B7-F981410559A7}">
  <sheetPr codeName="Sheet7"/>
  <dimension ref="A1:Z579"/>
  <sheetViews>
    <sheetView view="pageLayout" topLeftCell="A23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7" customWidth="1"/>
    <col min="2" max="2" width="8" style="37" customWidth="1"/>
    <col min="3" max="3" width="11.28515625" style="37" customWidth="1"/>
    <col min="4" max="4" width="6" style="37" customWidth="1"/>
    <col min="5" max="5" width="6.85546875" style="37" customWidth="1"/>
    <col min="6" max="6" width="12.140625" style="37" customWidth="1"/>
    <col min="7" max="7" width="10" style="37" customWidth="1"/>
    <col min="8" max="8" width="8.5703125" style="37" customWidth="1"/>
    <col min="9" max="9" width="4.5703125" style="37" customWidth="1"/>
    <col min="10" max="10" width="6.7109375" style="37" customWidth="1"/>
    <col min="11" max="11" width="8" style="37" customWidth="1"/>
    <col min="12" max="16384" width="14.42578125" style="37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5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53"/>
    </row>
    <row r="3" spans="1:26" ht="15" customHeight="1" x14ac:dyDescent="0.25">
      <c r="A3" s="73" t="s">
        <v>2</v>
      </c>
      <c r="B3" s="72"/>
      <c r="C3" s="53"/>
      <c r="D3" s="74">
        <v>2024050031</v>
      </c>
      <c r="E3" s="72"/>
      <c r="F3" s="72"/>
      <c r="G3" s="72"/>
      <c r="H3" s="72"/>
      <c r="I3" s="72"/>
      <c r="J3" s="53"/>
    </row>
    <row r="4" spans="1:26" ht="15" customHeight="1" x14ac:dyDescent="0.25">
      <c r="A4" s="73" t="s">
        <v>3</v>
      </c>
      <c r="B4" s="72"/>
      <c r="C4" s="53"/>
      <c r="D4" s="75" t="s">
        <v>67</v>
      </c>
      <c r="E4" s="76"/>
      <c r="F4" s="76"/>
      <c r="G4" s="76"/>
      <c r="H4" s="76"/>
      <c r="I4" s="76"/>
      <c r="J4" s="77"/>
    </row>
    <row r="5" spans="1:26" ht="15" customHeight="1" x14ac:dyDescent="0.25">
      <c r="A5" s="78" t="s">
        <v>4</v>
      </c>
      <c r="B5" s="72"/>
      <c r="C5" s="72"/>
      <c r="D5" s="72"/>
      <c r="E5" s="72"/>
      <c r="F5" s="72"/>
      <c r="G5" s="72"/>
      <c r="H5" s="72"/>
      <c r="I5" s="72"/>
      <c r="J5" s="5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8" t="s">
        <v>5</v>
      </c>
      <c r="B6" s="72"/>
      <c r="C6" s="72"/>
      <c r="D6" s="72"/>
      <c r="E6" s="72"/>
      <c r="F6" s="72"/>
      <c r="G6" s="72"/>
      <c r="H6" s="72"/>
      <c r="I6" s="72"/>
      <c r="J6" s="53"/>
    </row>
    <row r="7" spans="1:26" ht="30" customHeight="1" x14ac:dyDescent="0.25">
      <c r="A7" s="79" t="s">
        <v>6</v>
      </c>
      <c r="B7" s="49"/>
      <c r="C7" s="80" t="s">
        <v>7</v>
      </c>
      <c r="D7" s="49"/>
      <c r="E7" s="49"/>
      <c r="F7" s="39" t="s">
        <v>8</v>
      </c>
      <c r="G7" s="69" t="s">
        <v>9</v>
      </c>
      <c r="H7" s="49"/>
      <c r="I7" s="49"/>
      <c r="J7" s="59"/>
    </row>
    <row r="8" spans="1:26" ht="15" customHeight="1" x14ac:dyDescent="0.25">
      <c r="A8" s="61" t="s">
        <v>10</v>
      </c>
      <c r="B8" s="56"/>
      <c r="C8" s="62" t="s">
        <v>11</v>
      </c>
      <c r="D8" s="56"/>
      <c r="E8" s="4"/>
      <c r="F8" s="41" t="s">
        <v>12</v>
      </c>
      <c r="G8" s="6" t="s">
        <v>13</v>
      </c>
      <c r="H8" s="6" t="s">
        <v>14</v>
      </c>
      <c r="I8" s="70"/>
      <c r="J8" s="57"/>
    </row>
    <row r="9" spans="1:26" ht="30" customHeight="1" x14ac:dyDescent="0.25">
      <c r="A9" s="61" t="s">
        <v>15</v>
      </c>
      <c r="B9" s="56"/>
      <c r="C9" s="62" t="s">
        <v>16</v>
      </c>
      <c r="D9" s="56"/>
      <c r="E9" s="36"/>
      <c r="F9" s="39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1" t="s">
        <v>20</v>
      </c>
      <c r="B10" s="56"/>
      <c r="C10" s="62" t="s">
        <v>21</v>
      </c>
      <c r="D10" s="56"/>
      <c r="E10" s="36"/>
      <c r="F10" s="39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1" t="s">
        <v>25</v>
      </c>
      <c r="B11" s="56"/>
      <c r="C11" s="62" t="s">
        <v>26</v>
      </c>
      <c r="D11" s="56"/>
      <c r="E11" s="36"/>
      <c r="F11" s="39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1" t="s">
        <v>30</v>
      </c>
      <c r="B12" s="56"/>
      <c r="C12" s="62" t="s">
        <v>31</v>
      </c>
      <c r="D12" s="56"/>
      <c r="E12" s="36"/>
      <c r="F12" s="39" t="s">
        <v>32</v>
      </c>
      <c r="G12" s="8" t="s">
        <v>33</v>
      </c>
      <c r="H12" s="8" t="s">
        <v>34</v>
      </c>
      <c r="I12" s="9"/>
      <c r="J12" s="10"/>
    </row>
    <row r="13" spans="1:26" ht="30" customHeight="1" x14ac:dyDescent="0.25">
      <c r="A13" s="61" t="s">
        <v>35</v>
      </c>
      <c r="B13" s="56"/>
      <c r="C13" s="62" t="s">
        <v>36</v>
      </c>
      <c r="D13" s="56"/>
      <c r="E13" s="36"/>
      <c r="F13" s="39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1" t="s">
        <v>40</v>
      </c>
      <c r="B14" s="56"/>
      <c r="C14" s="62" t="s">
        <v>41</v>
      </c>
      <c r="D14" s="56"/>
      <c r="E14" s="36"/>
      <c r="F14" s="68" t="s">
        <v>42</v>
      </c>
      <c r="G14" s="56"/>
      <c r="H14" s="56"/>
      <c r="I14" s="67" t="s">
        <v>43</v>
      </c>
      <c r="J14" s="57"/>
    </row>
    <row r="15" spans="1:26" ht="15" customHeight="1" x14ac:dyDescent="0.25">
      <c r="A15" s="61" t="s">
        <v>44</v>
      </c>
      <c r="B15" s="56"/>
      <c r="C15" s="62" t="s">
        <v>45</v>
      </c>
      <c r="D15" s="56"/>
      <c r="E15" s="36"/>
      <c r="F15" s="62" t="s">
        <v>63</v>
      </c>
      <c r="G15" s="56"/>
      <c r="H15" s="56"/>
      <c r="I15" s="63">
        <v>45808</v>
      </c>
      <c r="J15" s="64"/>
    </row>
    <row r="16" spans="1:26" ht="15" customHeight="1" x14ac:dyDescent="0.25">
      <c r="A16" s="61" t="s">
        <v>46</v>
      </c>
      <c r="B16" s="56"/>
      <c r="C16" s="65" t="s">
        <v>47</v>
      </c>
      <c r="D16" s="56"/>
      <c r="E16" s="56"/>
      <c r="F16" s="66" t="s">
        <v>64</v>
      </c>
      <c r="G16" s="56"/>
      <c r="H16" s="56"/>
      <c r="I16" s="63">
        <v>45716</v>
      </c>
      <c r="J16" s="64"/>
    </row>
    <row r="17" spans="1:26" ht="15" customHeight="1" x14ac:dyDescent="0.25">
      <c r="A17" s="38"/>
      <c r="B17" s="39"/>
      <c r="C17" s="40"/>
      <c r="D17" s="40"/>
      <c r="E17" s="40"/>
      <c r="F17" s="66" t="s">
        <v>65</v>
      </c>
      <c r="G17" s="56"/>
      <c r="H17" s="56"/>
      <c r="I17" s="63">
        <v>45688</v>
      </c>
      <c r="J17" s="6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9" t="s">
        <v>66</v>
      </c>
      <c r="G18" s="51"/>
      <c r="H18" s="51"/>
      <c r="I18" s="90">
        <v>46142</v>
      </c>
      <c r="J18" s="91"/>
    </row>
    <row r="19" spans="1:26" x14ac:dyDescent="0.25">
      <c r="A19" s="85" t="s">
        <v>48</v>
      </c>
      <c r="B19" s="72"/>
      <c r="C19" s="72"/>
      <c r="D19" s="72"/>
      <c r="E19" s="72"/>
      <c r="F19" s="72"/>
      <c r="G19" s="72"/>
      <c r="H19" s="72"/>
      <c r="I19" s="72"/>
      <c r="J19" s="53"/>
    </row>
    <row r="20" spans="1:26" ht="26.25" customHeight="1" x14ac:dyDescent="0.25">
      <c r="A20" s="84" t="s">
        <v>49</v>
      </c>
      <c r="B20" s="49"/>
      <c r="C20" s="35">
        <v>172.869</v>
      </c>
      <c r="D20" s="16" t="s">
        <v>50</v>
      </c>
      <c r="E20" s="17">
        <v>1000</v>
      </c>
      <c r="F20" s="81" t="s">
        <v>51</v>
      </c>
      <c r="G20" s="49"/>
      <c r="H20" s="82">
        <f>IF(AND(C21&lt;0.15),"&lt;0.15",C21)</f>
        <v>0.17286899999999999</v>
      </c>
      <c r="I20" s="72"/>
      <c r="J20" s="18" t="s">
        <v>52</v>
      </c>
    </row>
    <row r="21" spans="1:26" ht="15.75" customHeight="1" x14ac:dyDescent="0.25">
      <c r="A21" s="19" t="s">
        <v>53</v>
      </c>
      <c r="B21" s="1"/>
      <c r="C21" s="52">
        <f>C20/1000</f>
        <v>0.17286899999999999</v>
      </c>
      <c r="D21" s="53"/>
      <c r="E21" s="20"/>
      <c r="F21" s="1"/>
      <c r="G21" s="1"/>
      <c r="H21" s="1"/>
      <c r="I21" s="1"/>
      <c r="J21" s="18"/>
    </row>
    <row r="22" spans="1:26" ht="15.75" customHeight="1" x14ac:dyDescent="0.25">
      <c r="A22" s="85" t="s">
        <v>56</v>
      </c>
      <c r="B22" s="72"/>
      <c r="C22" s="72"/>
      <c r="D22" s="72"/>
      <c r="E22" s="72"/>
      <c r="F22" s="72"/>
      <c r="G22" s="72"/>
      <c r="H22" s="72"/>
      <c r="I22" s="72"/>
      <c r="J22" s="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4" t="s">
        <v>49</v>
      </c>
      <c r="B23" s="49"/>
      <c r="C23" s="35">
        <v>59.555</v>
      </c>
      <c r="D23" s="16" t="s">
        <v>50</v>
      </c>
      <c r="E23" s="21">
        <v>1000</v>
      </c>
      <c r="F23" s="81" t="s">
        <v>51</v>
      </c>
      <c r="G23" s="49"/>
      <c r="H23" s="82" t="str">
        <f>IF(AND(C24&lt;0.15),"&lt;0.15",C24)</f>
        <v>&lt;0.15</v>
      </c>
      <c r="I23" s="72"/>
      <c r="J23" s="18" t="s">
        <v>52</v>
      </c>
    </row>
    <row r="24" spans="1:26" ht="15.75" customHeight="1" x14ac:dyDescent="0.25">
      <c r="A24" s="19" t="s">
        <v>53</v>
      </c>
      <c r="B24" s="1"/>
      <c r="C24" s="52">
        <f>C23/1000</f>
        <v>5.9554999999999997E-2</v>
      </c>
      <c r="D24" s="53"/>
      <c r="E24" s="20"/>
      <c r="F24" s="1"/>
      <c r="G24" s="1"/>
      <c r="H24" s="1"/>
      <c r="I24" s="1"/>
      <c r="J24" s="18"/>
    </row>
    <row r="25" spans="1:26" ht="15.75" customHeight="1" x14ac:dyDescent="0.25">
      <c r="A25" s="85" t="s">
        <v>54</v>
      </c>
      <c r="B25" s="72"/>
      <c r="C25" s="72"/>
      <c r="D25" s="72"/>
      <c r="E25" s="72"/>
      <c r="F25" s="72"/>
      <c r="G25" s="72"/>
      <c r="H25" s="72"/>
      <c r="I25" s="72"/>
      <c r="J25" s="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83" t="s">
        <v>49</v>
      </c>
      <c r="B26" s="56"/>
      <c r="C26" s="35">
        <v>9.4580000000000002</v>
      </c>
      <c r="D26" s="16" t="s">
        <v>50</v>
      </c>
      <c r="E26" s="21">
        <v>1000</v>
      </c>
      <c r="F26" s="86" t="s">
        <v>51</v>
      </c>
      <c r="G26" s="49"/>
      <c r="H26" s="82" t="str">
        <f>IF(AND(C27&lt;0.15),"&lt;0.15",C27)</f>
        <v>&lt;0.15</v>
      </c>
      <c r="I26" s="72"/>
      <c r="J26" s="22" t="s">
        <v>52</v>
      </c>
    </row>
    <row r="27" spans="1:26" ht="15.75" customHeight="1" x14ac:dyDescent="0.25">
      <c r="A27" s="19" t="s">
        <v>53</v>
      </c>
      <c r="B27" s="1"/>
      <c r="C27" s="87">
        <f>C26/1000</f>
        <v>9.4579999999999994E-3</v>
      </c>
      <c r="D27" s="59"/>
      <c r="E27" s="20"/>
      <c r="F27" s="1"/>
      <c r="G27" s="1"/>
      <c r="H27" s="1"/>
      <c r="I27" s="1"/>
      <c r="J27" s="18"/>
    </row>
    <row r="28" spans="1:26" ht="15.75" customHeight="1" x14ac:dyDescent="0.25">
      <c r="A28" s="85" t="s">
        <v>55</v>
      </c>
      <c r="B28" s="72"/>
      <c r="C28" s="72"/>
      <c r="D28" s="72"/>
      <c r="E28" s="72"/>
      <c r="F28" s="72"/>
      <c r="G28" s="72"/>
      <c r="H28" s="72"/>
      <c r="I28" s="72"/>
      <c r="J28" s="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83" t="s">
        <v>49</v>
      </c>
      <c r="B29" s="56"/>
      <c r="C29" s="35">
        <v>257.73500000000001</v>
      </c>
      <c r="D29" s="16" t="s">
        <v>50</v>
      </c>
      <c r="E29" s="21">
        <v>1000</v>
      </c>
      <c r="F29" s="88" t="s">
        <v>51</v>
      </c>
      <c r="G29" s="56"/>
      <c r="H29" s="82">
        <f>IF(AND(C30&lt;0.15),"&lt;0.15",C30)</f>
        <v>0.25773499999999999</v>
      </c>
      <c r="I29" s="72"/>
      <c r="J29" s="18" t="s">
        <v>52</v>
      </c>
    </row>
    <row r="30" spans="1:26" ht="15.75" customHeight="1" x14ac:dyDescent="0.25">
      <c r="A30" s="19" t="s">
        <v>53</v>
      </c>
      <c r="B30" s="1"/>
      <c r="C30" s="52">
        <f>C29/1000</f>
        <v>0.25773499999999999</v>
      </c>
      <c r="D30" s="53"/>
      <c r="E30" s="20"/>
      <c r="F30" s="1"/>
      <c r="G30" s="1"/>
      <c r="H30" s="1"/>
      <c r="I30" s="1"/>
      <c r="J30" s="18"/>
    </row>
    <row r="31" spans="1:26" ht="15.75" customHeight="1" x14ac:dyDescent="0.25">
      <c r="A31" s="54" t="s">
        <v>57</v>
      </c>
      <c r="B31" s="49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55" t="s">
        <v>59</v>
      </c>
      <c r="C32" s="56"/>
      <c r="D32" s="56"/>
      <c r="E32" s="57"/>
      <c r="F32" s="1"/>
      <c r="G32" s="1"/>
      <c r="H32" s="1"/>
      <c r="I32" s="1"/>
      <c r="J32" s="18"/>
    </row>
    <row r="33" spans="1:26" ht="15.75" customHeight="1" x14ac:dyDescent="0.25">
      <c r="A33" s="26"/>
      <c r="B33" s="56"/>
      <c r="C33" s="56"/>
      <c r="D33" s="56"/>
      <c r="E33" s="57"/>
      <c r="F33" s="27"/>
      <c r="G33" s="1"/>
      <c r="H33" s="1"/>
      <c r="I33" s="1"/>
      <c r="J33" s="18"/>
    </row>
    <row r="34" spans="1:26" ht="15.75" customHeight="1" x14ac:dyDescent="0.25">
      <c r="A34" s="28"/>
      <c r="B34" s="55" t="s">
        <v>60</v>
      </c>
      <c r="C34" s="56"/>
      <c r="D34" s="56"/>
      <c r="E34" s="57"/>
      <c r="F34" s="1"/>
      <c r="G34" s="1"/>
      <c r="H34" s="1"/>
      <c r="I34" s="1"/>
      <c r="J34" s="18"/>
    </row>
    <row r="35" spans="1:26" ht="15.75" customHeight="1" x14ac:dyDescent="0.25">
      <c r="A35" s="28"/>
      <c r="B35" s="56"/>
      <c r="C35" s="56"/>
      <c r="D35" s="56"/>
      <c r="E35" s="57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8" t="s">
        <v>61</v>
      </c>
      <c r="B38" s="49"/>
      <c r="C38" s="49"/>
      <c r="D38" s="49"/>
      <c r="E38" s="59"/>
      <c r="F38" s="42" t="s">
        <v>68</v>
      </c>
      <c r="G38" s="43"/>
      <c r="H38" s="43"/>
      <c r="I38" s="43"/>
      <c r="J38" s="44"/>
    </row>
    <row r="39" spans="1:26" ht="11.25" customHeight="1" x14ac:dyDescent="0.25">
      <c r="A39" s="50"/>
      <c r="B39" s="51"/>
      <c r="C39" s="51"/>
      <c r="D39" s="51"/>
      <c r="E39" s="60"/>
      <c r="F39" s="45"/>
      <c r="G39" s="46"/>
      <c r="H39" s="46"/>
      <c r="I39" s="46"/>
      <c r="J39" s="47"/>
    </row>
    <row r="40" spans="1:26" ht="15.75" customHeight="1" x14ac:dyDescent="0.25">
      <c r="A40" s="48" t="s">
        <v>62</v>
      </c>
      <c r="B40" s="49"/>
      <c r="C40" s="49"/>
      <c r="D40" s="49"/>
      <c r="E40" s="49"/>
      <c r="F40" s="33"/>
      <c r="G40" s="29"/>
      <c r="H40" s="29"/>
      <c r="I40" s="29"/>
      <c r="J40" s="18"/>
    </row>
    <row r="41" spans="1:26" ht="11.25" customHeight="1" x14ac:dyDescent="0.25">
      <c r="A41" s="50"/>
      <c r="B41" s="51"/>
      <c r="C41" s="51"/>
      <c r="D41" s="51"/>
      <c r="E41" s="5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/>
    <row r="45" spans="1:26" ht="15.75" customHeight="1" x14ac:dyDescent="0.25"/>
    <row r="46" spans="1:26" ht="15.75" customHeight="1" x14ac:dyDescent="0.25"/>
    <row r="47" spans="1:26" ht="15.75" customHeight="1" x14ac:dyDescent="0.25"/>
    <row r="48" spans="1:26" ht="15.75" customHeight="1" x14ac:dyDescent="0.25"/>
    <row r="49" ht="15.75" customHeight="1" x14ac:dyDescent="0.25"/>
    <row r="50" ht="28.5" customHeight="1" x14ac:dyDescent="0.25"/>
    <row r="51" ht="15.75" customHeight="1" x14ac:dyDescent="0.25"/>
    <row r="52" ht="15.75" customHeight="1" x14ac:dyDescent="0.25"/>
    <row r="53" ht="15.75" customHeight="1" x14ac:dyDescent="0.25"/>
    <row r="54" ht="31.5" customHeight="1" x14ac:dyDescent="0.25"/>
    <row r="55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spans="1:1" ht="15.75" customHeight="1" x14ac:dyDescent="0.25"/>
    <row r="242" spans="1:1" ht="15.75" customHeight="1" x14ac:dyDescent="0.25"/>
    <row r="243" spans="1:1" ht="15.75" customHeight="1" x14ac:dyDescent="0.25"/>
    <row r="244" spans="1:1" ht="15.75" customHeight="1" x14ac:dyDescent="0.25"/>
    <row r="245" spans="1:1" ht="15.75" customHeight="1" x14ac:dyDescent="0.25"/>
    <row r="246" spans="1:1" ht="15.75" customHeight="1" x14ac:dyDescent="0.25"/>
    <row r="247" spans="1:1" ht="15.75" customHeight="1" x14ac:dyDescent="0.25"/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B34:E35"/>
    <mergeCell ref="A38:E39"/>
    <mergeCell ref="F38:J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D27C7-F0D5-486F-849E-5CFC43B440A5}">
  <sheetPr codeName="Sheet8"/>
  <dimension ref="A1:Z579"/>
  <sheetViews>
    <sheetView view="pageLayout" topLeftCell="A19" zoomScale="112" zoomScaleNormal="100" zoomScalePageLayoutView="112" workbookViewId="0">
      <selection activeCell="C20" sqref="C20"/>
    </sheetView>
  </sheetViews>
  <sheetFormatPr defaultColWidth="14.42578125" defaultRowHeight="15" customHeight="1" x14ac:dyDescent="0.25"/>
  <cols>
    <col min="1" max="1" width="12.85546875" style="37" customWidth="1"/>
    <col min="2" max="2" width="8" style="37" customWidth="1"/>
    <col min="3" max="3" width="11.28515625" style="37" customWidth="1"/>
    <col min="4" max="4" width="6" style="37" customWidth="1"/>
    <col min="5" max="5" width="6.85546875" style="37" customWidth="1"/>
    <col min="6" max="6" width="12.140625" style="37" customWidth="1"/>
    <col min="7" max="7" width="10" style="37" customWidth="1"/>
    <col min="8" max="8" width="8.5703125" style="37" customWidth="1"/>
    <col min="9" max="9" width="4.5703125" style="37" customWidth="1"/>
    <col min="10" max="10" width="6.7109375" style="37" customWidth="1"/>
    <col min="11" max="11" width="8" style="37" customWidth="1"/>
    <col min="12" max="16384" width="14.42578125" style="37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5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53"/>
    </row>
    <row r="3" spans="1:26" ht="15" customHeight="1" x14ac:dyDescent="0.25">
      <c r="A3" s="73" t="s">
        <v>2</v>
      </c>
      <c r="B3" s="72"/>
      <c r="C3" s="53"/>
      <c r="D3" s="74">
        <v>2024050032</v>
      </c>
      <c r="E3" s="72"/>
      <c r="F3" s="72"/>
      <c r="G3" s="72"/>
      <c r="H3" s="72"/>
      <c r="I3" s="72"/>
      <c r="J3" s="53"/>
    </row>
    <row r="4" spans="1:26" ht="15" customHeight="1" x14ac:dyDescent="0.25">
      <c r="A4" s="73" t="s">
        <v>3</v>
      </c>
      <c r="B4" s="72"/>
      <c r="C4" s="53"/>
      <c r="D4" s="75" t="s">
        <v>67</v>
      </c>
      <c r="E4" s="76"/>
      <c r="F4" s="76"/>
      <c r="G4" s="76"/>
      <c r="H4" s="76"/>
      <c r="I4" s="76"/>
      <c r="J4" s="77"/>
    </row>
    <row r="5" spans="1:26" ht="15" customHeight="1" x14ac:dyDescent="0.25">
      <c r="A5" s="78" t="s">
        <v>4</v>
      </c>
      <c r="B5" s="72"/>
      <c r="C5" s="72"/>
      <c r="D5" s="72"/>
      <c r="E5" s="72"/>
      <c r="F5" s="72"/>
      <c r="G5" s="72"/>
      <c r="H5" s="72"/>
      <c r="I5" s="72"/>
      <c r="J5" s="5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8" t="s">
        <v>5</v>
      </c>
      <c r="B6" s="72"/>
      <c r="C6" s="72"/>
      <c r="D6" s="72"/>
      <c r="E6" s="72"/>
      <c r="F6" s="72"/>
      <c r="G6" s="72"/>
      <c r="H6" s="72"/>
      <c r="I6" s="72"/>
      <c r="J6" s="53"/>
    </row>
    <row r="7" spans="1:26" ht="30" customHeight="1" x14ac:dyDescent="0.25">
      <c r="A7" s="79" t="s">
        <v>6</v>
      </c>
      <c r="B7" s="49"/>
      <c r="C7" s="80" t="s">
        <v>7</v>
      </c>
      <c r="D7" s="49"/>
      <c r="E7" s="49"/>
      <c r="F7" s="39" t="s">
        <v>8</v>
      </c>
      <c r="G7" s="69" t="s">
        <v>9</v>
      </c>
      <c r="H7" s="49"/>
      <c r="I7" s="49"/>
      <c r="J7" s="59"/>
    </row>
    <row r="8" spans="1:26" ht="15" customHeight="1" x14ac:dyDescent="0.25">
      <c r="A8" s="61" t="s">
        <v>10</v>
      </c>
      <c r="B8" s="56"/>
      <c r="C8" s="62" t="s">
        <v>11</v>
      </c>
      <c r="D8" s="56"/>
      <c r="E8" s="4"/>
      <c r="F8" s="41" t="s">
        <v>12</v>
      </c>
      <c r="G8" s="6" t="s">
        <v>13</v>
      </c>
      <c r="H8" s="6" t="s">
        <v>14</v>
      </c>
      <c r="I8" s="70"/>
      <c r="J8" s="57"/>
    </row>
    <row r="9" spans="1:26" ht="30" customHeight="1" x14ac:dyDescent="0.25">
      <c r="A9" s="61" t="s">
        <v>15</v>
      </c>
      <c r="B9" s="56"/>
      <c r="C9" s="62" t="s">
        <v>16</v>
      </c>
      <c r="D9" s="56"/>
      <c r="E9" s="36"/>
      <c r="F9" s="39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1" t="s">
        <v>20</v>
      </c>
      <c r="B10" s="56"/>
      <c r="C10" s="62" t="s">
        <v>21</v>
      </c>
      <c r="D10" s="56"/>
      <c r="E10" s="36"/>
      <c r="F10" s="39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1" t="s">
        <v>25</v>
      </c>
      <c r="B11" s="56"/>
      <c r="C11" s="62" t="s">
        <v>26</v>
      </c>
      <c r="D11" s="56"/>
      <c r="E11" s="36"/>
      <c r="F11" s="39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1" t="s">
        <v>30</v>
      </c>
      <c r="B12" s="56"/>
      <c r="C12" s="62" t="s">
        <v>31</v>
      </c>
      <c r="D12" s="56"/>
      <c r="E12" s="36"/>
      <c r="F12" s="39" t="s">
        <v>32</v>
      </c>
      <c r="G12" s="8" t="s">
        <v>33</v>
      </c>
      <c r="H12" s="8" t="s">
        <v>34</v>
      </c>
      <c r="I12" s="9"/>
      <c r="J12" s="10"/>
    </row>
    <row r="13" spans="1:26" ht="30" customHeight="1" x14ac:dyDescent="0.25">
      <c r="A13" s="61" t="s">
        <v>35</v>
      </c>
      <c r="B13" s="56"/>
      <c r="C13" s="62" t="s">
        <v>36</v>
      </c>
      <c r="D13" s="56"/>
      <c r="E13" s="36"/>
      <c r="F13" s="39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1" t="s">
        <v>40</v>
      </c>
      <c r="B14" s="56"/>
      <c r="C14" s="62" t="s">
        <v>41</v>
      </c>
      <c r="D14" s="56"/>
      <c r="E14" s="36"/>
      <c r="F14" s="68" t="s">
        <v>42</v>
      </c>
      <c r="G14" s="56"/>
      <c r="H14" s="56"/>
      <c r="I14" s="67" t="s">
        <v>43</v>
      </c>
      <c r="J14" s="57"/>
    </row>
    <row r="15" spans="1:26" ht="15" customHeight="1" x14ac:dyDescent="0.25">
      <c r="A15" s="61" t="s">
        <v>44</v>
      </c>
      <c r="B15" s="56"/>
      <c r="C15" s="62" t="s">
        <v>45</v>
      </c>
      <c r="D15" s="56"/>
      <c r="E15" s="36"/>
      <c r="F15" s="62" t="s">
        <v>63</v>
      </c>
      <c r="G15" s="56"/>
      <c r="H15" s="56"/>
      <c r="I15" s="63">
        <v>45808</v>
      </c>
      <c r="J15" s="64"/>
    </row>
    <row r="16" spans="1:26" ht="15" customHeight="1" x14ac:dyDescent="0.25">
      <c r="A16" s="61" t="s">
        <v>46</v>
      </c>
      <c r="B16" s="56"/>
      <c r="C16" s="65" t="s">
        <v>47</v>
      </c>
      <c r="D16" s="56"/>
      <c r="E16" s="56"/>
      <c r="F16" s="66" t="s">
        <v>64</v>
      </c>
      <c r="G16" s="56"/>
      <c r="H16" s="56"/>
      <c r="I16" s="63">
        <v>45716</v>
      </c>
      <c r="J16" s="64"/>
    </row>
    <row r="17" spans="1:26" ht="15" customHeight="1" x14ac:dyDescent="0.25">
      <c r="A17" s="38"/>
      <c r="B17" s="39"/>
      <c r="C17" s="40"/>
      <c r="D17" s="40"/>
      <c r="E17" s="40"/>
      <c r="F17" s="66" t="s">
        <v>65</v>
      </c>
      <c r="G17" s="56"/>
      <c r="H17" s="56"/>
      <c r="I17" s="63">
        <v>45688</v>
      </c>
      <c r="J17" s="6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9" t="s">
        <v>66</v>
      </c>
      <c r="G18" s="51"/>
      <c r="H18" s="51"/>
      <c r="I18" s="90">
        <v>46142</v>
      </c>
      <c r="J18" s="91"/>
    </row>
    <row r="19" spans="1:26" x14ac:dyDescent="0.25">
      <c r="A19" s="85" t="s">
        <v>48</v>
      </c>
      <c r="B19" s="72"/>
      <c r="C19" s="72"/>
      <c r="D19" s="72"/>
      <c r="E19" s="72"/>
      <c r="F19" s="72"/>
      <c r="G19" s="72"/>
      <c r="H19" s="72"/>
      <c r="I19" s="72"/>
      <c r="J19" s="53"/>
    </row>
    <row r="20" spans="1:26" ht="26.25" customHeight="1" x14ac:dyDescent="0.25">
      <c r="A20" s="84" t="s">
        <v>49</v>
      </c>
      <c r="B20" s="49"/>
      <c r="C20" s="35">
        <v>193.97900000000001</v>
      </c>
      <c r="D20" s="16" t="s">
        <v>50</v>
      </c>
      <c r="E20" s="17">
        <v>1000</v>
      </c>
      <c r="F20" s="81" t="s">
        <v>51</v>
      </c>
      <c r="G20" s="49"/>
      <c r="H20" s="82">
        <f>IF(AND(C21&lt;0.15),"&lt;0.15",C21)</f>
        <v>0.19397900000000001</v>
      </c>
      <c r="I20" s="72"/>
      <c r="J20" s="18" t="s">
        <v>52</v>
      </c>
    </row>
    <row r="21" spans="1:26" ht="15.75" customHeight="1" x14ac:dyDescent="0.25">
      <c r="A21" s="19" t="s">
        <v>53</v>
      </c>
      <c r="B21" s="1"/>
      <c r="C21" s="52">
        <f>C20/1000</f>
        <v>0.19397900000000001</v>
      </c>
      <c r="D21" s="53"/>
      <c r="E21" s="20"/>
      <c r="F21" s="1"/>
      <c r="G21" s="1"/>
      <c r="H21" s="1"/>
      <c r="I21" s="1"/>
      <c r="J21" s="18"/>
    </row>
    <row r="22" spans="1:26" ht="15.75" customHeight="1" x14ac:dyDescent="0.25">
      <c r="A22" s="85" t="s">
        <v>56</v>
      </c>
      <c r="B22" s="72"/>
      <c r="C22" s="72"/>
      <c r="D22" s="72"/>
      <c r="E22" s="72"/>
      <c r="F22" s="72"/>
      <c r="G22" s="72"/>
      <c r="H22" s="72"/>
      <c r="I22" s="72"/>
      <c r="J22" s="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4" t="s">
        <v>49</v>
      </c>
      <c r="B23" s="49"/>
      <c r="C23" s="35">
        <v>20.529</v>
      </c>
      <c r="D23" s="16" t="s">
        <v>50</v>
      </c>
      <c r="E23" s="21">
        <v>1000</v>
      </c>
      <c r="F23" s="81" t="s">
        <v>51</v>
      </c>
      <c r="G23" s="49"/>
      <c r="H23" s="82" t="str">
        <f>IF(AND(C24&lt;0.15),"&lt;0.15",C24)</f>
        <v>&lt;0.15</v>
      </c>
      <c r="I23" s="72"/>
      <c r="J23" s="18" t="s">
        <v>52</v>
      </c>
    </row>
    <row r="24" spans="1:26" ht="15.75" customHeight="1" x14ac:dyDescent="0.25">
      <c r="A24" s="19" t="s">
        <v>53</v>
      </c>
      <c r="B24" s="1"/>
      <c r="C24" s="52">
        <f>C23/1000</f>
        <v>2.0528999999999999E-2</v>
      </c>
      <c r="D24" s="53"/>
      <c r="E24" s="20"/>
      <c r="F24" s="1"/>
      <c r="G24" s="1"/>
      <c r="H24" s="1"/>
      <c r="I24" s="1"/>
      <c r="J24" s="18"/>
    </row>
    <row r="25" spans="1:26" ht="15.75" customHeight="1" x14ac:dyDescent="0.25">
      <c r="A25" s="85" t="s">
        <v>54</v>
      </c>
      <c r="B25" s="72"/>
      <c r="C25" s="72"/>
      <c r="D25" s="72"/>
      <c r="E25" s="72"/>
      <c r="F25" s="72"/>
      <c r="G25" s="72"/>
      <c r="H25" s="72"/>
      <c r="I25" s="72"/>
      <c r="J25" s="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83" t="s">
        <v>49</v>
      </c>
      <c r="B26" s="56"/>
      <c r="C26" s="35">
        <v>9.0449999999999999</v>
      </c>
      <c r="D26" s="16" t="s">
        <v>50</v>
      </c>
      <c r="E26" s="21">
        <v>1000</v>
      </c>
      <c r="F26" s="86" t="s">
        <v>51</v>
      </c>
      <c r="G26" s="49"/>
      <c r="H26" s="82" t="str">
        <f>IF(AND(C27&lt;0.15),"&lt;0.15",C27)</f>
        <v>&lt;0.15</v>
      </c>
      <c r="I26" s="72"/>
      <c r="J26" s="22" t="s">
        <v>52</v>
      </c>
    </row>
    <row r="27" spans="1:26" ht="15.75" customHeight="1" x14ac:dyDescent="0.25">
      <c r="A27" s="19" t="s">
        <v>53</v>
      </c>
      <c r="B27" s="1"/>
      <c r="C27" s="87">
        <f>C26/1000</f>
        <v>9.0449999999999992E-3</v>
      </c>
      <c r="D27" s="59"/>
      <c r="E27" s="20"/>
      <c r="F27" s="1"/>
      <c r="G27" s="1"/>
      <c r="H27" s="1"/>
      <c r="I27" s="1"/>
      <c r="J27" s="18"/>
    </row>
    <row r="28" spans="1:26" ht="15.75" customHeight="1" x14ac:dyDescent="0.25">
      <c r="A28" s="85" t="s">
        <v>55</v>
      </c>
      <c r="B28" s="72"/>
      <c r="C28" s="72"/>
      <c r="D28" s="72"/>
      <c r="E28" s="72"/>
      <c r="F28" s="72"/>
      <c r="G28" s="72"/>
      <c r="H28" s="72"/>
      <c r="I28" s="72"/>
      <c r="J28" s="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83" t="s">
        <v>49</v>
      </c>
      <c r="B29" s="56"/>
      <c r="C29" s="35">
        <v>273.88900000000001</v>
      </c>
      <c r="D29" s="16" t="s">
        <v>50</v>
      </c>
      <c r="E29" s="21">
        <v>1000</v>
      </c>
      <c r="F29" s="88" t="s">
        <v>51</v>
      </c>
      <c r="G29" s="56"/>
      <c r="H29" s="82">
        <f>IF(AND(C30&lt;0.15),"&lt;0.15",C30)</f>
        <v>0.27388899999999999</v>
      </c>
      <c r="I29" s="72"/>
      <c r="J29" s="18" t="s">
        <v>52</v>
      </c>
    </row>
    <row r="30" spans="1:26" ht="15.75" customHeight="1" x14ac:dyDescent="0.25">
      <c r="A30" s="19" t="s">
        <v>53</v>
      </c>
      <c r="B30" s="1"/>
      <c r="C30" s="52">
        <f>C29/1000</f>
        <v>0.27388899999999999</v>
      </c>
      <c r="D30" s="53"/>
      <c r="E30" s="20"/>
      <c r="F30" s="1"/>
      <c r="G30" s="1"/>
      <c r="H30" s="1"/>
      <c r="I30" s="1"/>
      <c r="J30" s="18"/>
    </row>
    <row r="31" spans="1:26" ht="15.75" customHeight="1" x14ac:dyDescent="0.25">
      <c r="A31" s="54" t="s">
        <v>57</v>
      </c>
      <c r="B31" s="49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55" t="s">
        <v>59</v>
      </c>
      <c r="C32" s="56"/>
      <c r="D32" s="56"/>
      <c r="E32" s="57"/>
      <c r="F32" s="1"/>
      <c r="G32" s="1"/>
      <c r="H32" s="1"/>
      <c r="I32" s="1"/>
      <c r="J32" s="18"/>
    </row>
    <row r="33" spans="1:26" ht="15.75" customHeight="1" x14ac:dyDescent="0.25">
      <c r="A33" s="26"/>
      <c r="B33" s="56"/>
      <c r="C33" s="56"/>
      <c r="D33" s="56"/>
      <c r="E33" s="57"/>
      <c r="F33" s="27"/>
      <c r="G33" s="1"/>
      <c r="H33" s="1"/>
      <c r="I33" s="1"/>
      <c r="J33" s="18"/>
    </row>
    <row r="34" spans="1:26" ht="15.75" customHeight="1" x14ac:dyDescent="0.25">
      <c r="A34" s="28"/>
      <c r="B34" s="55" t="s">
        <v>60</v>
      </c>
      <c r="C34" s="56"/>
      <c r="D34" s="56"/>
      <c r="E34" s="57"/>
      <c r="F34" s="1"/>
      <c r="G34" s="1"/>
      <c r="H34" s="1"/>
      <c r="I34" s="1"/>
      <c r="J34" s="18"/>
    </row>
    <row r="35" spans="1:26" ht="15.75" customHeight="1" x14ac:dyDescent="0.25">
      <c r="A35" s="28"/>
      <c r="B35" s="56"/>
      <c r="C35" s="56"/>
      <c r="D35" s="56"/>
      <c r="E35" s="57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8" t="s">
        <v>61</v>
      </c>
      <c r="B38" s="49"/>
      <c r="C38" s="49"/>
      <c r="D38" s="49"/>
      <c r="E38" s="59"/>
      <c r="F38" s="42" t="s">
        <v>68</v>
      </c>
      <c r="G38" s="43"/>
      <c r="H38" s="43"/>
      <c r="I38" s="43"/>
      <c r="J38" s="44"/>
    </row>
    <row r="39" spans="1:26" ht="11.25" customHeight="1" x14ac:dyDescent="0.25">
      <c r="A39" s="50"/>
      <c r="B39" s="51"/>
      <c r="C39" s="51"/>
      <c r="D39" s="51"/>
      <c r="E39" s="60"/>
      <c r="F39" s="45"/>
      <c r="G39" s="46"/>
      <c r="H39" s="46"/>
      <c r="I39" s="46"/>
      <c r="J39" s="47"/>
    </row>
    <row r="40" spans="1:26" ht="15.75" customHeight="1" x14ac:dyDescent="0.25">
      <c r="A40" s="48" t="s">
        <v>62</v>
      </c>
      <c r="B40" s="49"/>
      <c r="C40" s="49"/>
      <c r="D40" s="49"/>
      <c r="E40" s="49"/>
      <c r="F40" s="33"/>
      <c r="G40" s="29"/>
      <c r="H40" s="29"/>
      <c r="I40" s="29"/>
      <c r="J40" s="18"/>
    </row>
    <row r="41" spans="1:26" ht="11.25" customHeight="1" x14ac:dyDescent="0.25">
      <c r="A41" s="50"/>
      <c r="B41" s="51"/>
      <c r="C41" s="51"/>
      <c r="D41" s="51"/>
      <c r="E41" s="5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/>
    <row r="45" spans="1:26" ht="15.75" customHeight="1" x14ac:dyDescent="0.25"/>
    <row r="46" spans="1:26" ht="15.75" customHeight="1" x14ac:dyDescent="0.25"/>
    <row r="47" spans="1:26" ht="15.75" customHeight="1" x14ac:dyDescent="0.25"/>
    <row r="48" spans="1:26" ht="15.75" customHeight="1" x14ac:dyDescent="0.25"/>
    <row r="49" ht="15.75" customHeight="1" x14ac:dyDescent="0.25"/>
    <row r="50" ht="28.5" customHeight="1" x14ac:dyDescent="0.25"/>
    <row r="51" ht="15.75" customHeight="1" x14ac:dyDescent="0.25"/>
    <row r="52" ht="15.75" customHeight="1" x14ac:dyDescent="0.25"/>
    <row r="53" ht="15.75" customHeight="1" x14ac:dyDescent="0.25"/>
    <row r="54" ht="31.5" customHeight="1" x14ac:dyDescent="0.25"/>
    <row r="55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spans="1:1" ht="15.75" customHeight="1" x14ac:dyDescent="0.25"/>
    <row r="242" spans="1:1" ht="15.75" customHeight="1" x14ac:dyDescent="0.25"/>
    <row r="243" spans="1:1" ht="15.75" customHeight="1" x14ac:dyDescent="0.25"/>
    <row r="244" spans="1:1" ht="15.75" customHeight="1" x14ac:dyDescent="0.25"/>
    <row r="245" spans="1:1" ht="15.75" customHeight="1" x14ac:dyDescent="0.25"/>
    <row r="246" spans="1:1" ht="15.75" customHeight="1" x14ac:dyDescent="0.25"/>
    <row r="247" spans="1:1" ht="15.75" customHeight="1" x14ac:dyDescent="0.25"/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B34:E35"/>
    <mergeCell ref="A38:E39"/>
    <mergeCell ref="F38:J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E302-BF4B-4D3C-9660-95E9B8CD2391}">
  <sheetPr codeName="Sheet9"/>
  <dimension ref="A1:Z579"/>
  <sheetViews>
    <sheetView tabSelected="1" view="pageLayout" topLeftCell="A28" zoomScale="112" zoomScaleNormal="100" zoomScalePageLayoutView="112" workbookViewId="0">
      <selection activeCell="F26" sqref="F26:G26"/>
    </sheetView>
  </sheetViews>
  <sheetFormatPr defaultColWidth="14.42578125" defaultRowHeight="15" customHeight="1" x14ac:dyDescent="0.25"/>
  <cols>
    <col min="1" max="1" width="12.85546875" style="37" customWidth="1"/>
    <col min="2" max="2" width="8" style="37" customWidth="1"/>
    <col min="3" max="3" width="11.28515625" style="37" customWidth="1"/>
    <col min="4" max="4" width="6" style="37" customWidth="1"/>
    <col min="5" max="5" width="6.85546875" style="37" customWidth="1"/>
    <col min="6" max="6" width="12.140625" style="37" customWidth="1"/>
    <col min="7" max="7" width="10" style="37" customWidth="1"/>
    <col min="8" max="8" width="8.5703125" style="37" customWidth="1"/>
    <col min="9" max="9" width="4.5703125" style="37" customWidth="1"/>
    <col min="10" max="10" width="6.7109375" style="37" customWidth="1"/>
    <col min="11" max="11" width="8" style="37" customWidth="1"/>
    <col min="12" max="16384" width="14.42578125" style="37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5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53"/>
    </row>
    <row r="3" spans="1:26" ht="15" customHeight="1" x14ac:dyDescent="0.25">
      <c r="A3" s="73" t="s">
        <v>2</v>
      </c>
      <c r="B3" s="72"/>
      <c r="C3" s="53"/>
      <c r="D3" s="74">
        <v>2024050114</v>
      </c>
      <c r="E3" s="72"/>
      <c r="F3" s="72"/>
      <c r="G3" s="72"/>
      <c r="H3" s="72"/>
      <c r="I3" s="72"/>
      <c r="J3" s="53"/>
    </row>
    <row r="4" spans="1:26" ht="15" customHeight="1" x14ac:dyDescent="0.25">
      <c r="A4" s="73" t="s">
        <v>3</v>
      </c>
      <c r="B4" s="72"/>
      <c r="C4" s="53"/>
      <c r="D4" s="75" t="s">
        <v>67</v>
      </c>
      <c r="E4" s="76"/>
      <c r="F4" s="76"/>
      <c r="G4" s="76"/>
      <c r="H4" s="76"/>
      <c r="I4" s="76"/>
      <c r="J4" s="77"/>
    </row>
    <row r="5" spans="1:26" ht="15" customHeight="1" x14ac:dyDescent="0.25">
      <c r="A5" s="78" t="s">
        <v>4</v>
      </c>
      <c r="B5" s="72"/>
      <c r="C5" s="72"/>
      <c r="D5" s="72"/>
      <c r="E5" s="72"/>
      <c r="F5" s="72"/>
      <c r="G5" s="72"/>
      <c r="H5" s="72"/>
      <c r="I5" s="72"/>
      <c r="J5" s="5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8" t="s">
        <v>5</v>
      </c>
      <c r="B6" s="72"/>
      <c r="C6" s="72"/>
      <c r="D6" s="72"/>
      <c r="E6" s="72"/>
      <c r="F6" s="72"/>
      <c r="G6" s="72"/>
      <c r="H6" s="72"/>
      <c r="I6" s="72"/>
      <c r="J6" s="53"/>
    </row>
    <row r="7" spans="1:26" ht="30" customHeight="1" x14ac:dyDescent="0.25">
      <c r="A7" s="79" t="s">
        <v>6</v>
      </c>
      <c r="B7" s="49"/>
      <c r="C7" s="80" t="s">
        <v>7</v>
      </c>
      <c r="D7" s="49"/>
      <c r="E7" s="49"/>
      <c r="F7" s="39" t="s">
        <v>8</v>
      </c>
      <c r="G7" s="69" t="s">
        <v>9</v>
      </c>
      <c r="H7" s="49"/>
      <c r="I7" s="49"/>
      <c r="J7" s="59"/>
    </row>
    <row r="8" spans="1:26" ht="15" customHeight="1" x14ac:dyDescent="0.25">
      <c r="A8" s="61" t="s">
        <v>10</v>
      </c>
      <c r="B8" s="56"/>
      <c r="C8" s="62" t="s">
        <v>11</v>
      </c>
      <c r="D8" s="56"/>
      <c r="E8" s="4"/>
      <c r="F8" s="41" t="s">
        <v>12</v>
      </c>
      <c r="G8" s="6" t="s">
        <v>13</v>
      </c>
      <c r="H8" s="6" t="s">
        <v>14</v>
      </c>
      <c r="I8" s="70"/>
      <c r="J8" s="57"/>
    </row>
    <row r="9" spans="1:26" ht="30" customHeight="1" x14ac:dyDescent="0.25">
      <c r="A9" s="61" t="s">
        <v>15</v>
      </c>
      <c r="B9" s="56"/>
      <c r="C9" s="62" t="s">
        <v>16</v>
      </c>
      <c r="D9" s="56"/>
      <c r="E9" s="36"/>
      <c r="F9" s="39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1" t="s">
        <v>20</v>
      </c>
      <c r="B10" s="56"/>
      <c r="C10" s="62" t="s">
        <v>21</v>
      </c>
      <c r="D10" s="56"/>
      <c r="E10" s="36"/>
      <c r="F10" s="39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1" t="s">
        <v>25</v>
      </c>
      <c r="B11" s="56"/>
      <c r="C11" s="62" t="s">
        <v>26</v>
      </c>
      <c r="D11" s="56"/>
      <c r="E11" s="36"/>
      <c r="F11" s="39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1" t="s">
        <v>30</v>
      </c>
      <c r="B12" s="56"/>
      <c r="C12" s="62" t="s">
        <v>31</v>
      </c>
      <c r="D12" s="56"/>
      <c r="E12" s="36"/>
      <c r="F12" s="39" t="s">
        <v>32</v>
      </c>
      <c r="G12" s="8" t="s">
        <v>33</v>
      </c>
      <c r="H12" s="8" t="s">
        <v>34</v>
      </c>
      <c r="I12" s="9"/>
      <c r="J12" s="10"/>
    </row>
    <row r="13" spans="1:26" ht="30" customHeight="1" x14ac:dyDescent="0.25">
      <c r="A13" s="61" t="s">
        <v>35</v>
      </c>
      <c r="B13" s="56"/>
      <c r="C13" s="62" t="s">
        <v>36</v>
      </c>
      <c r="D13" s="56"/>
      <c r="E13" s="36"/>
      <c r="F13" s="39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1" t="s">
        <v>40</v>
      </c>
      <c r="B14" s="56"/>
      <c r="C14" s="62" t="s">
        <v>41</v>
      </c>
      <c r="D14" s="56"/>
      <c r="E14" s="36"/>
      <c r="F14" s="68" t="s">
        <v>42</v>
      </c>
      <c r="G14" s="56"/>
      <c r="H14" s="56"/>
      <c r="I14" s="67" t="s">
        <v>43</v>
      </c>
      <c r="J14" s="57"/>
    </row>
    <row r="15" spans="1:26" ht="15" customHeight="1" x14ac:dyDescent="0.25">
      <c r="A15" s="61" t="s">
        <v>44</v>
      </c>
      <c r="B15" s="56"/>
      <c r="C15" s="62" t="s">
        <v>45</v>
      </c>
      <c r="D15" s="56"/>
      <c r="E15" s="36"/>
      <c r="F15" s="62" t="s">
        <v>63</v>
      </c>
      <c r="G15" s="56"/>
      <c r="H15" s="56"/>
      <c r="I15" s="63">
        <v>45808</v>
      </c>
      <c r="J15" s="64"/>
    </row>
    <row r="16" spans="1:26" ht="15" customHeight="1" x14ac:dyDescent="0.25">
      <c r="A16" s="61" t="s">
        <v>46</v>
      </c>
      <c r="B16" s="56"/>
      <c r="C16" s="65" t="s">
        <v>47</v>
      </c>
      <c r="D16" s="56"/>
      <c r="E16" s="56"/>
      <c r="F16" s="66" t="s">
        <v>64</v>
      </c>
      <c r="G16" s="56"/>
      <c r="H16" s="56"/>
      <c r="I16" s="63">
        <v>45716</v>
      </c>
      <c r="J16" s="64"/>
    </row>
    <row r="17" spans="1:26" ht="15" customHeight="1" x14ac:dyDescent="0.25">
      <c r="A17" s="38"/>
      <c r="B17" s="39"/>
      <c r="C17" s="40"/>
      <c r="D17" s="40"/>
      <c r="E17" s="40"/>
      <c r="F17" s="66" t="s">
        <v>65</v>
      </c>
      <c r="G17" s="56"/>
      <c r="H17" s="56"/>
      <c r="I17" s="63">
        <v>45688</v>
      </c>
      <c r="J17" s="6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9" t="s">
        <v>66</v>
      </c>
      <c r="G18" s="51"/>
      <c r="H18" s="51"/>
      <c r="I18" s="90">
        <v>46142</v>
      </c>
      <c r="J18" s="91"/>
    </row>
    <row r="19" spans="1:26" x14ac:dyDescent="0.25">
      <c r="A19" s="85" t="s">
        <v>48</v>
      </c>
      <c r="B19" s="72"/>
      <c r="C19" s="72"/>
      <c r="D19" s="72"/>
      <c r="E19" s="72"/>
      <c r="F19" s="72"/>
      <c r="G19" s="72"/>
      <c r="H19" s="72"/>
      <c r="I19" s="72"/>
      <c r="J19" s="53"/>
    </row>
    <row r="20" spans="1:26" ht="26.25" customHeight="1" x14ac:dyDescent="0.25">
      <c r="A20" s="84" t="s">
        <v>49</v>
      </c>
      <c r="B20" s="49"/>
      <c r="C20" s="35">
        <v>161.68700000000001</v>
      </c>
      <c r="D20" s="16" t="s">
        <v>50</v>
      </c>
      <c r="E20" s="17">
        <v>1000</v>
      </c>
      <c r="F20" s="81" t="s">
        <v>51</v>
      </c>
      <c r="G20" s="49"/>
      <c r="H20" s="82">
        <f>IF(AND(C21&lt;0.15),"&lt;0.15",C21)</f>
        <v>0.16168700000000003</v>
      </c>
      <c r="I20" s="72"/>
      <c r="J20" s="18" t="s">
        <v>52</v>
      </c>
    </row>
    <row r="21" spans="1:26" ht="15.75" customHeight="1" x14ac:dyDescent="0.25">
      <c r="A21" s="19" t="s">
        <v>53</v>
      </c>
      <c r="B21" s="1"/>
      <c r="C21" s="52">
        <f>C20/1000</f>
        <v>0.16168700000000003</v>
      </c>
      <c r="D21" s="53"/>
      <c r="E21" s="20"/>
      <c r="F21" s="1"/>
      <c r="G21" s="1"/>
      <c r="H21" s="1"/>
      <c r="I21" s="1"/>
      <c r="J21" s="18"/>
    </row>
    <row r="22" spans="1:26" ht="15.75" customHeight="1" x14ac:dyDescent="0.25">
      <c r="A22" s="85" t="s">
        <v>56</v>
      </c>
      <c r="B22" s="72"/>
      <c r="C22" s="72"/>
      <c r="D22" s="72"/>
      <c r="E22" s="72"/>
      <c r="F22" s="72"/>
      <c r="G22" s="72"/>
      <c r="H22" s="72"/>
      <c r="I22" s="72"/>
      <c r="J22" s="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4" t="s">
        <v>49</v>
      </c>
      <c r="B23" s="49"/>
      <c r="C23" s="35">
        <v>113.797</v>
      </c>
      <c r="D23" s="16" t="s">
        <v>50</v>
      </c>
      <c r="E23" s="21">
        <v>1000</v>
      </c>
      <c r="F23" s="81" t="s">
        <v>51</v>
      </c>
      <c r="G23" s="49"/>
      <c r="H23" s="82" t="str">
        <f>IF(AND(C24&lt;0.15),"&lt;0.15",C24)</f>
        <v>&lt;0.15</v>
      </c>
      <c r="I23" s="72"/>
      <c r="J23" s="18" t="s">
        <v>52</v>
      </c>
    </row>
    <row r="24" spans="1:26" ht="15.75" customHeight="1" x14ac:dyDescent="0.25">
      <c r="A24" s="19" t="s">
        <v>53</v>
      </c>
      <c r="B24" s="1"/>
      <c r="C24" s="52">
        <f>C23/1000</f>
        <v>0.113797</v>
      </c>
      <c r="D24" s="53"/>
      <c r="E24" s="20"/>
      <c r="F24" s="1"/>
      <c r="G24" s="1"/>
      <c r="H24" s="1"/>
      <c r="I24" s="1"/>
      <c r="J24" s="18"/>
    </row>
    <row r="25" spans="1:26" ht="15.75" customHeight="1" x14ac:dyDescent="0.25">
      <c r="A25" s="85" t="s">
        <v>54</v>
      </c>
      <c r="B25" s="72"/>
      <c r="C25" s="72"/>
      <c r="D25" s="72"/>
      <c r="E25" s="72"/>
      <c r="F25" s="72"/>
      <c r="G25" s="72"/>
      <c r="H25" s="72"/>
      <c r="I25" s="72"/>
      <c r="J25" s="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83" t="s">
        <v>49</v>
      </c>
      <c r="B26" s="56"/>
      <c r="C26" s="35">
        <v>12.467000000000001</v>
      </c>
      <c r="D26" s="16" t="s">
        <v>50</v>
      </c>
      <c r="E26" s="21">
        <v>1000</v>
      </c>
      <c r="F26" s="86" t="s">
        <v>51</v>
      </c>
      <c r="G26" s="49"/>
      <c r="H26" s="82" t="str">
        <f>IF(AND(C27&lt;0.15),"&lt;0.15",C27)</f>
        <v>&lt;0.15</v>
      </c>
      <c r="I26" s="72"/>
      <c r="J26" s="22" t="s">
        <v>52</v>
      </c>
    </row>
    <row r="27" spans="1:26" ht="15.75" customHeight="1" x14ac:dyDescent="0.25">
      <c r="A27" s="19" t="s">
        <v>53</v>
      </c>
      <c r="B27" s="1"/>
      <c r="C27" s="87">
        <f>C26/1000</f>
        <v>1.2467000000000001E-2</v>
      </c>
      <c r="D27" s="59"/>
      <c r="E27" s="20"/>
      <c r="F27" s="1"/>
      <c r="G27" s="1"/>
      <c r="H27" s="1"/>
      <c r="I27" s="1"/>
      <c r="J27" s="18"/>
    </row>
    <row r="28" spans="1:26" ht="15.75" customHeight="1" x14ac:dyDescent="0.25">
      <c r="A28" s="85" t="s">
        <v>55</v>
      </c>
      <c r="B28" s="72"/>
      <c r="C28" s="72"/>
      <c r="D28" s="72"/>
      <c r="E28" s="72"/>
      <c r="F28" s="72"/>
      <c r="G28" s="72"/>
      <c r="H28" s="72"/>
      <c r="I28" s="72"/>
      <c r="J28" s="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83" t="s">
        <v>49</v>
      </c>
      <c r="B29" s="56"/>
      <c r="C29" s="35">
        <v>487.625</v>
      </c>
      <c r="D29" s="16" t="s">
        <v>50</v>
      </c>
      <c r="E29" s="21">
        <v>1000</v>
      </c>
      <c r="F29" s="88" t="s">
        <v>51</v>
      </c>
      <c r="G29" s="56"/>
      <c r="H29" s="82">
        <f>IF(AND(C30&lt;0.15),"&lt;0.15",C30)</f>
        <v>0.48762499999999998</v>
      </c>
      <c r="I29" s="72"/>
      <c r="J29" s="18" t="s">
        <v>52</v>
      </c>
    </row>
    <row r="30" spans="1:26" ht="15.75" customHeight="1" x14ac:dyDescent="0.25">
      <c r="A30" s="19" t="s">
        <v>53</v>
      </c>
      <c r="B30" s="1"/>
      <c r="C30" s="52">
        <f>C29/1000</f>
        <v>0.48762499999999998</v>
      </c>
      <c r="D30" s="53"/>
      <c r="E30" s="20"/>
      <c r="F30" s="1"/>
      <c r="G30" s="1"/>
      <c r="H30" s="1"/>
      <c r="I30" s="1"/>
      <c r="J30" s="18"/>
    </row>
    <row r="31" spans="1:26" ht="15.75" customHeight="1" x14ac:dyDescent="0.25">
      <c r="A31" s="54" t="s">
        <v>57</v>
      </c>
      <c r="B31" s="49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55" t="s">
        <v>59</v>
      </c>
      <c r="C32" s="56"/>
      <c r="D32" s="56"/>
      <c r="E32" s="57"/>
      <c r="F32" s="1"/>
      <c r="G32" s="1"/>
      <c r="H32" s="1"/>
      <c r="I32" s="1"/>
      <c r="J32" s="18"/>
    </row>
    <row r="33" spans="1:26" ht="15.75" customHeight="1" x14ac:dyDescent="0.25">
      <c r="A33" s="26"/>
      <c r="B33" s="56"/>
      <c r="C33" s="56"/>
      <c r="D33" s="56"/>
      <c r="E33" s="57"/>
      <c r="F33" s="27"/>
      <c r="G33" s="1"/>
      <c r="H33" s="1"/>
      <c r="I33" s="1"/>
      <c r="J33" s="18"/>
    </row>
    <row r="34" spans="1:26" ht="15.75" customHeight="1" x14ac:dyDescent="0.25">
      <c r="A34" s="28"/>
      <c r="B34" s="55" t="s">
        <v>60</v>
      </c>
      <c r="C34" s="56"/>
      <c r="D34" s="56"/>
      <c r="E34" s="57"/>
      <c r="F34" s="1"/>
      <c r="G34" s="1"/>
      <c r="H34" s="1"/>
      <c r="I34" s="1"/>
      <c r="J34" s="18"/>
    </row>
    <row r="35" spans="1:26" ht="15.75" customHeight="1" x14ac:dyDescent="0.25">
      <c r="A35" s="28"/>
      <c r="B35" s="56"/>
      <c r="C35" s="56"/>
      <c r="D35" s="56"/>
      <c r="E35" s="57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8" t="s">
        <v>61</v>
      </c>
      <c r="B38" s="49"/>
      <c r="C38" s="49"/>
      <c r="D38" s="49"/>
      <c r="E38" s="59"/>
      <c r="F38" s="42" t="s">
        <v>68</v>
      </c>
      <c r="G38" s="43"/>
      <c r="H38" s="43"/>
      <c r="I38" s="43"/>
      <c r="J38" s="44"/>
    </row>
    <row r="39" spans="1:26" ht="11.25" customHeight="1" x14ac:dyDescent="0.25">
      <c r="A39" s="50"/>
      <c r="B39" s="51"/>
      <c r="C39" s="51"/>
      <c r="D39" s="51"/>
      <c r="E39" s="60"/>
      <c r="F39" s="45"/>
      <c r="G39" s="46"/>
      <c r="H39" s="46"/>
      <c r="I39" s="46"/>
      <c r="J39" s="47"/>
    </row>
    <row r="40" spans="1:26" ht="15.75" customHeight="1" x14ac:dyDescent="0.25">
      <c r="A40" s="48" t="s">
        <v>62</v>
      </c>
      <c r="B40" s="49"/>
      <c r="C40" s="49"/>
      <c r="D40" s="49"/>
      <c r="E40" s="49"/>
      <c r="F40" s="33"/>
      <c r="G40" s="29"/>
      <c r="H40" s="29"/>
      <c r="I40" s="29"/>
      <c r="J40" s="18"/>
    </row>
    <row r="41" spans="1:26" ht="11.25" customHeight="1" x14ac:dyDescent="0.25">
      <c r="A41" s="50"/>
      <c r="B41" s="51"/>
      <c r="C41" s="51"/>
      <c r="D41" s="51"/>
      <c r="E41" s="5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/>
    <row r="45" spans="1:26" ht="15.75" customHeight="1" x14ac:dyDescent="0.25"/>
    <row r="46" spans="1:26" ht="15.75" customHeight="1" x14ac:dyDescent="0.25"/>
    <row r="47" spans="1:26" ht="15.75" customHeight="1" x14ac:dyDescent="0.25"/>
    <row r="48" spans="1:26" ht="15.75" customHeight="1" x14ac:dyDescent="0.25"/>
    <row r="49" ht="15.75" customHeight="1" x14ac:dyDescent="0.25"/>
    <row r="50" ht="28.5" customHeight="1" x14ac:dyDescent="0.25"/>
    <row r="51" ht="15.75" customHeight="1" x14ac:dyDescent="0.25"/>
    <row r="52" ht="15.75" customHeight="1" x14ac:dyDescent="0.25"/>
    <row r="53" ht="15.75" customHeight="1" x14ac:dyDescent="0.25"/>
    <row r="54" ht="31.5" customHeight="1" x14ac:dyDescent="0.25"/>
    <row r="55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spans="1:1" ht="15.75" customHeight="1" x14ac:dyDescent="0.25"/>
    <row r="242" spans="1:1" ht="15.75" customHeight="1" x14ac:dyDescent="0.25"/>
    <row r="243" spans="1:1" ht="15.75" customHeight="1" x14ac:dyDescent="0.25"/>
    <row r="244" spans="1:1" ht="15.75" customHeight="1" x14ac:dyDescent="0.25"/>
    <row r="245" spans="1:1" ht="15.75" customHeight="1" x14ac:dyDescent="0.25"/>
    <row r="246" spans="1:1" ht="15.75" customHeight="1" x14ac:dyDescent="0.25"/>
    <row r="247" spans="1:1" ht="15.75" customHeight="1" x14ac:dyDescent="0.25"/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B34:E35"/>
    <mergeCell ref="A38:E39"/>
    <mergeCell ref="F38:J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2024050017</vt:lpstr>
      <vt:lpstr>2024050018</vt:lpstr>
      <vt:lpstr>2024050027</vt:lpstr>
      <vt:lpstr>2024050028</vt:lpstr>
      <vt:lpstr>2024050029</vt:lpstr>
      <vt:lpstr>2024050030</vt:lpstr>
      <vt:lpstr>2024050031</vt:lpstr>
      <vt:lpstr>2024050032</vt:lpstr>
      <vt:lpstr>2024050114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2024-05-30T07:30:36Z</dcterms:modified>
</cp:coreProperties>
</file>