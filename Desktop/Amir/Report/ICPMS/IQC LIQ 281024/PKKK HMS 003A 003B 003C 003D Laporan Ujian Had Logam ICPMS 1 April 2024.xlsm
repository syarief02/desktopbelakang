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3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mir\Report\ICPMS\IQC LIQ 281024\"/>
    </mc:Choice>
  </mc:AlternateContent>
  <xr:revisionPtr revIDLastSave="0" documentId="13_ncr:1_{B7641D75-7011-4B03-8B65-651D2AC1182A}" xr6:coauthVersionLast="36" xr6:coauthVersionMax="36" xr10:uidLastSave="{00000000-0000-0000-0000-000000000000}"/>
  <bookViews>
    <workbookView xWindow="0" yWindow="0" windowWidth="28800" windowHeight="12300" activeTab="1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C29" i="36" l="1"/>
  <c r="C30" i="36" s="1"/>
  <c r="H29" i="36" s="1"/>
  <c r="C26" i="36"/>
  <c r="C23" i="36"/>
  <c r="C24" i="36" s="1"/>
  <c r="H23" i="36" s="1"/>
  <c r="C20" i="36"/>
  <c r="C21" i="36" s="1"/>
  <c r="H20" i="36" s="1"/>
  <c r="C27" i="36"/>
  <c r="H26" i="36" s="1"/>
  <c r="C29" i="35"/>
  <c r="C30" i="35" s="1"/>
  <c r="H29" i="35" s="1"/>
  <c r="C26" i="35"/>
  <c r="C27" i="35" s="1"/>
  <c r="H26" i="35" s="1"/>
  <c r="C23" i="35"/>
  <c r="C24" i="35" s="1"/>
  <c r="H23" i="35" s="1"/>
  <c r="C20" i="35"/>
  <c r="C21" i="35" s="1"/>
  <c r="H20" i="35" s="1"/>
  <c r="C29" i="34"/>
  <c r="C30" i="34" s="1"/>
  <c r="H29" i="34" s="1"/>
  <c r="C26" i="34"/>
  <c r="C27" i="34" s="1"/>
  <c r="H26" i="34" s="1"/>
  <c r="C23" i="34"/>
  <c r="C24" i="34" s="1"/>
  <c r="H23" i="34" s="1"/>
  <c r="C20" i="34"/>
  <c r="C21" i="34"/>
  <c r="H20" i="34" s="1"/>
  <c r="C29" i="33"/>
  <c r="C30" i="33" s="1"/>
  <c r="H29" i="33" s="1"/>
  <c r="C26" i="33"/>
  <c r="C23" i="33"/>
  <c r="C24" i="33" s="1"/>
  <c r="H23" i="33" s="1"/>
  <c r="C20" i="33"/>
  <c r="C21" i="33" s="1"/>
  <c r="H20" i="33" s="1"/>
  <c r="C27" i="33"/>
  <c r="H26" i="33" s="1"/>
  <c r="C29" i="32"/>
  <c r="C30" i="32" s="1"/>
  <c r="H29" i="32" s="1"/>
  <c r="C26" i="32"/>
  <c r="C27" i="32" s="1"/>
  <c r="H26" i="32" s="1"/>
  <c r="C23" i="32"/>
  <c r="C24" i="32" s="1"/>
  <c r="H23" i="32" s="1"/>
  <c r="C20" i="32"/>
  <c r="C21" i="32" s="1"/>
  <c r="H20" i="32" s="1"/>
  <c r="C29" i="3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C29" i="30"/>
  <c r="C30" i="30" s="1"/>
  <c r="H29" i="30" s="1"/>
  <c r="C26" i="30"/>
  <c r="C27" i="30" s="1"/>
  <c r="H26" i="30" s="1"/>
  <c r="C23" i="30"/>
  <c r="C24" i="30" s="1"/>
  <c r="H23" i="30" s="1"/>
  <c r="C20" i="30"/>
  <c r="C21" i="30" s="1"/>
  <c r="H20" i="30" s="1"/>
  <c r="C29" i="29"/>
  <c r="C26" i="29"/>
  <c r="C23" i="29"/>
  <c r="C20" i="29"/>
  <c r="C29" i="28"/>
  <c r="C26" i="28"/>
  <c r="C23" i="28"/>
  <c r="C20" i="28"/>
  <c r="C29" i="27"/>
  <c r="C26" i="27"/>
  <c r="C23" i="27"/>
  <c r="C20" i="27"/>
  <c r="C29" i="26"/>
  <c r="C26" i="26"/>
  <c r="C23" i="26"/>
  <c r="C20" i="26"/>
  <c r="C29" i="25"/>
  <c r="C26" i="25"/>
  <c r="C23" i="25"/>
  <c r="C20" i="25"/>
  <c r="C29" i="24"/>
  <c r="C26" i="24"/>
  <c r="C23" i="24"/>
  <c r="C20" i="24"/>
  <c r="C29" i="23"/>
  <c r="C26" i="23"/>
  <c r="C23" i="23"/>
  <c r="C20" i="23"/>
  <c r="C29" i="1"/>
  <c r="C26" i="1"/>
  <c r="C23" i="1"/>
  <c r="C20" i="1"/>
  <c r="D3" i="36"/>
  <c r="D3" i="35"/>
  <c r="D3" i="34"/>
  <c r="D3" i="33"/>
  <c r="D3" i="32"/>
  <c r="D3" i="31"/>
  <c r="D3" i="30"/>
  <c r="D3" i="29"/>
  <c r="D3" i="28"/>
  <c r="D3" i="27"/>
  <c r="D3" i="26"/>
  <c r="D3" i="25"/>
  <c r="D3" i="24"/>
  <c r="D3" i="23"/>
  <c r="D3" i="1"/>
  <c r="C27" i="29" l="1"/>
  <c r="H26" i="29" s="1"/>
  <c r="C24" i="29"/>
  <c r="H23" i="29" s="1"/>
  <c r="C21" i="29"/>
  <c r="H20" i="29" s="1"/>
  <c r="C30" i="28"/>
  <c r="H29" i="28" s="1"/>
  <c r="C27" i="28"/>
  <c r="H26" i="28" s="1"/>
  <c r="C24" i="28"/>
  <c r="H23" i="28" s="1"/>
  <c r="C30" i="27"/>
  <c r="H29" i="27" s="1"/>
  <c r="C27" i="27"/>
  <c r="H26" i="27" s="1"/>
  <c r="C21" i="27"/>
  <c r="H20" i="27" s="1"/>
  <c r="C30" i="26"/>
  <c r="H29" i="26" s="1"/>
  <c r="C27" i="26"/>
  <c r="H26" i="26" s="1"/>
  <c r="C24" i="26"/>
  <c r="H23" i="26" s="1"/>
  <c r="C21" i="26"/>
  <c r="H20" i="26" s="1"/>
  <c r="C30" i="25"/>
  <c r="H29" i="25" s="1"/>
  <c r="C24" i="25"/>
  <c r="H23" i="25" s="1"/>
  <c r="C21" i="25"/>
  <c r="H20" i="25" s="1"/>
  <c r="C30" i="24"/>
  <c r="H29" i="24" s="1"/>
  <c r="C27" i="24"/>
  <c r="H26" i="24" s="1"/>
  <c r="C24" i="24"/>
  <c r="H23" i="24" s="1"/>
  <c r="C21" i="24"/>
  <c r="H20" i="24" s="1"/>
  <c r="C30" i="23"/>
  <c r="H29" i="23" s="1"/>
  <c r="C27" i="23"/>
  <c r="H26" i="23" s="1"/>
  <c r="C24" i="23"/>
  <c r="H23" i="23" s="1"/>
  <c r="C21" i="23"/>
  <c r="H20" i="23" s="1"/>
  <c r="H38" i="36"/>
  <c r="F38" i="36"/>
  <c r="I18" i="36"/>
  <c r="G18" i="36"/>
  <c r="I17" i="36"/>
  <c r="G17" i="36"/>
  <c r="I16" i="36"/>
  <c r="G16" i="36"/>
  <c r="I15" i="36"/>
  <c r="G15" i="36"/>
  <c r="D4" i="36"/>
  <c r="H38" i="35"/>
  <c r="F38" i="35"/>
  <c r="I18" i="35"/>
  <c r="G18" i="35"/>
  <c r="I17" i="35"/>
  <c r="G17" i="35"/>
  <c r="I16" i="35"/>
  <c r="G16" i="35"/>
  <c r="I15" i="35"/>
  <c r="G15" i="35"/>
  <c r="D4" i="35"/>
  <c r="H38" i="34"/>
  <c r="F38" i="34"/>
  <c r="I18" i="34"/>
  <c r="G18" i="34"/>
  <c r="I17" i="34"/>
  <c r="G17" i="34"/>
  <c r="I16" i="34"/>
  <c r="G16" i="34"/>
  <c r="I15" i="34"/>
  <c r="G15" i="34"/>
  <c r="D4" i="34"/>
  <c r="H38" i="33"/>
  <c r="F38" i="33"/>
  <c r="I18" i="33"/>
  <c r="G18" i="33"/>
  <c r="I17" i="33"/>
  <c r="G17" i="33"/>
  <c r="I16" i="33"/>
  <c r="G16" i="33"/>
  <c r="I15" i="33"/>
  <c r="G15" i="33"/>
  <c r="D4" i="33"/>
  <c r="H38" i="32"/>
  <c r="F38" i="32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I18" i="30"/>
  <c r="G18" i="30"/>
  <c r="I17" i="30"/>
  <c r="G17" i="30"/>
  <c r="I16" i="30"/>
  <c r="G16" i="30"/>
  <c r="I15" i="30"/>
  <c r="G15" i="30"/>
  <c r="D4" i="30"/>
  <c r="H38" i="29"/>
  <c r="F38" i="29"/>
  <c r="C30" i="29"/>
  <c r="H29" i="29" s="1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C24" i="27"/>
  <c r="H23" i="27" s="1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C27" i="25"/>
  <c r="H26" i="25" s="1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<sst xmlns="http://schemas.openxmlformats.org/spreadsheetml/2006/main" count="1264" uniqueCount="95">
  <si>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</si>
  <si>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</si>
  <si>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</si>
  <si>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</si>
  <si>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</si>
  <si>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</si>
  <si>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</si>
  <si>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</si>
  <si>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</si>
  <si>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</si>
  <si>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</si>
  <si>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</si>
  <si>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</si>
  <si>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</si>
  <si>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</si>
  <si>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</si>
  <si>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</si>
  <si>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</si>
  <si>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</si>
  <si>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</si>
  <si>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</si>
  <si>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</si>
  <si>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</si>
  <si>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</si>
  <si>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</si>
  <si>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</si>
  <si>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</si>
  <si>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</si>
  <si>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</si>
  <si>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</si>
  <si>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</si>
  <si>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</si>
  <si>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</si>
  <si>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</si>
  <si>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</si>
  <si>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</si>
  <si>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</si>
  <si>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</si>
  <si>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</si>
  <si>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</si>
  <si>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</si>
  <si>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</si>
  <si>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</si>
  <si>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</si>
  <si>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</si>
  <si>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</si>
  <si>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</si>
  <si>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</si>
  <si>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</si>
  <si>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</si>
  <si>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</si>
  <si>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</si>
  <si>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</si>
  <si>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</si>
  <si>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</si>
  <si>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</si>
  <si>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</si>
  <si>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</si>
  <si>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</si>
  <si>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</si>
  <si>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</si>
  <si>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</si>
  <si>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</si>
  <si>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</si>
  <si>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</si>
  <si>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</si>
  <si>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</si>
  <si>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</si>
  <si>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</si>
  <si>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</si>
  <si>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</si>
  <si>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</si>
  <si>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</si>
  <si>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</si>
  <si>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</si>
  <si>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</si>
  <si>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</si>
  <si>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</si>
  <si>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</si>
  <si>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</si>
  <si>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</si>
  <si>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</si>
  <si>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</si>
  <si>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</si>
  <si>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</si>
  <si>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</si>
  <si>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</si>
  <si>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</si>
  <si>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</si>
  <si>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cd</t>
  </si>
  <si>
    <t>Bil</t>
  </si>
  <si>
    <t>No Sampel</t>
  </si>
  <si>
    <t>Elemen</t>
  </si>
  <si>
    <t>051124</t>
  </si>
  <si>
    <t>PERMIT   AMIR   NASOHA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</si>
</sst>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4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55">
    <xf numFmtId="0" fontId="0" fillId="0" borderId="0" xfId="0" applyFont="1" applyAlignment="1"/>
    <xf numFmtId="0" fontId="6" fillId="0" borderId="0" xfId="0" applyFont="1"/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1" fontId="8" fillId="0" borderId="8" xfId="0" applyNumberFormat="1" applyFont="1" applyBorder="1" applyAlignment="1">
      <alignment vertical="top"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6" fillId="0" borderId="0" xfId="0" applyFont="1" applyAlignment="1">
      <alignment horizontal="left"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6" fillId="0" borderId="8" xfId="0" applyFont="1" applyBorder="1"/>
    <xf numFmtId="0" fontId="6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vertical="center" wrapText="1"/>
    </xf>
    <xf numFmtId="0" fontId="6" fillId="0" borderId="0" xfId="0" applyFont="1" applyAlignment="1">
      <alignment horizontal="center" vertical="top" wrapText="1"/>
    </xf>
    <xf numFmtId="0" fontId="6" fillId="0" borderId="7" xfId="0" applyFont="1" applyBorder="1" applyAlignment="1">
      <alignment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0" xfId="0" applyFont="1" applyAlignment="1">
      <alignment wrapText="1"/>
    </xf>
    <xf numFmtId="164" fontId="9" fillId="4" borderId="0" xfId="0" applyNumberFormat="1" applyFont="1" applyFill="1"/>
    <xf numFmtId="164" fontId="9" fillId="0" borderId="0" xfId="0" applyNumberFormat="1" applyFont="1" applyAlignment="1">
      <alignment horizontal="center"/>
    </xf>
    <xf numFmtId="1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 applyAlignment="1">
      <alignment horizontal="right" wrapText="1"/>
    </xf>
    <xf numFmtId="0" fontId="9" fillId="0" borderId="0" xfId="0" applyFont="1"/>
    <xf numFmtId="166" fontId="13" fillId="0" borderId="8" xfId="0" applyNumberFormat="1" applyFont="1" applyBorder="1"/>
    <xf numFmtId="1" fontId="9" fillId="0" borderId="8" xfId="0" applyNumberFormat="1" applyFont="1" applyBorder="1" applyAlignment="1">
      <alignment horizontal="center" vertical="center"/>
    </xf>
    <xf numFmtId="0" fontId="9" fillId="0" borderId="6" xfId="0" applyFont="1" applyBorder="1"/>
    <xf numFmtId="0" fontId="4" fillId="0" borderId="0" xfId="0" applyFont="1" applyAlignment="1">
      <alignment horizontal="left" vertical="center" wrapText="1"/>
    </xf>
    <xf numFmtId="0" fontId="0" fillId="0" borderId="0" xfId="0" applyFont="1" applyAlignment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horizontal="center" wrapText="1"/>
    </xf>
    <xf numFmtId="1" fontId="9" fillId="0" borderId="9" xfId="0" applyNumberFormat="1" applyFont="1" applyBorder="1" applyAlignment="1">
      <alignment horizontal="center" wrapText="1"/>
    </xf>
    <xf numFmtId="0" fontId="0" fillId="0" borderId="12" xfId="0" applyFont="1" applyBorder="1" applyAlignment="1"/>
    <xf numFmtId="0" fontId="3" fillId="0" borderId="24" xfId="0" applyFont="1" applyBorder="1" applyAlignment="1"/>
    <xf numFmtId="0" fontId="0" fillId="0" borderId="25" xfId="0" applyFont="1" applyBorder="1" applyAlignment="1"/>
    <xf numFmtId="0" fontId="0" fillId="0" borderId="23" xfId="0" applyFont="1" applyBorder="1" applyAlignment="1"/>
    <xf numFmtId="0" fontId="3" fillId="0" borderId="24" xfId="0" applyFont="1" applyBorder="1" applyAlignment="1">
      <alignment horizontal="left"/>
    </xf>
    <xf numFmtId="0" fontId="0" fillId="0" borderId="18" xfId="0" applyFont="1" applyBorder="1" applyAlignment="1"/>
    <xf numFmtId="14" fontId="0" fillId="0" borderId="16" xfId="0" applyNumberFormat="1" applyFont="1" applyBorder="1" applyAlignment="1">
      <alignment horizontal="center"/>
    </xf>
    <xf numFmtId="14" fontId="0" fillId="0" borderId="19" xfId="0" applyNumberFormat="1" applyFont="1" applyBorder="1" applyAlignment="1">
      <alignment horizontal="center"/>
    </xf>
    <xf numFmtId="0" fontId="0" fillId="0" borderId="28" xfId="0" applyFont="1" applyBorder="1" applyAlignment="1"/>
    <xf numFmtId="0" fontId="0" fillId="0" borderId="29" xfId="0" applyFont="1" applyBorder="1" applyAlignment="1"/>
    <xf numFmtId="0" fontId="3" fillId="0" borderId="31" xfId="0" applyFont="1" applyBorder="1" applyAlignment="1">
      <alignment horizontal="left"/>
    </xf>
    <xf numFmtId="0" fontId="0" fillId="0" borderId="32" xfId="0" applyFont="1" applyBorder="1" applyAlignment="1"/>
    <xf numFmtId="0" fontId="14" fillId="5" borderId="20" xfId="0" applyFont="1" applyFill="1" applyBorder="1" applyAlignment="1">
      <alignment horizontal="left"/>
    </xf>
    <xf numFmtId="0" fontId="14" fillId="5" borderId="22" xfId="0" applyFont="1" applyFill="1" applyBorder="1" applyAlignment="1"/>
    <xf numFmtId="0" fontId="14" fillId="5" borderId="26" xfId="0" applyFont="1" applyFill="1" applyBorder="1" applyAlignment="1"/>
    <xf numFmtId="0" fontId="3" fillId="0" borderId="31" xfId="0" applyFont="1" applyBorder="1" applyAlignment="1"/>
    <xf numFmtId="0" fontId="14" fillId="5" borderId="20" xfId="0" applyFont="1" applyFill="1" applyBorder="1" applyAlignment="1"/>
    <xf numFmtId="0" fontId="3" fillId="0" borderId="35" xfId="0" applyFont="1" applyBorder="1" applyAlignment="1"/>
    <xf numFmtId="0" fontId="0" fillId="0" borderId="30" xfId="0" applyFont="1" applyBorder="1" applyAlignment="1"/>
    <xf numFmtId="0" fontId="0" fillId="0" borderId="36" xfId="0" applyFont="1" applyBorder="1" applyAlignment="1"/>
    <xf numFmtId="0" fontId="0" fillId="0" borderId="35" xfId="0" applyFont="1" applyBorder="1" applyAlignment="1"/>
    <xf numFmtId="0" fontId="0" fillId="0" borderId="21" xfId="0" applyFont="1" applyBorder="1" applyAlignment="1"/>
    <xf numFmtId="0" fontId="3" fillId="0" borderId="15" xfId="0" applyFont="1" applyBorder="1" applyAlignment="1">
      <alignment horizontal="center"/>
    </xf>
    <xf numFmtId="0" fontId="15" fillId="0" borderId="0" xfId="0" applyFont="1" applyFill="1" applyAlignment="1"/>
    <xf numFmtId="0" fontId="0" fillId="0" borderId="0" xfId="0" applyFont="1" applyFill="1" applyAlignment="1"/>
    <xf numFmtId="0" fontId="2" fillId="0" borderId="15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39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164" fontId="0" fillId="0" borderId="0" xfId="0" applyNumberFormat="1" applyFont="1" applyAlignment="1"/>
    <xf numFmtId="164" fontId="0" fillId="4" borderId="40" xfId="0" applyNumberFormat="1" applyFont="1" applyFill="1" applyBorder="1" applyAlignment="1">
      <alignment horizontal="center" vertical="center"/>
    </xf>
    <xf numFmtId="164" fontId="0" fillId="6" borderId="40" xfId="0" applyNumberFormat="1" applyFont="1" applyFill="1" applyBorder="1" applyAlignment="1">
      <alignment horizontal="center" vertical="center"/>
    </xf>
    <xf numFmtId="164" fontId="0" fillId="7" borderId="40" xfId="0" applyNumberFormat="1" applyFont="1" applyFill="1" applyBorder="1" applyAlignment="1">
      <alignment horizontal="center" vertical="center"/>
    </xf>
    <xf numFmtId="164" fontId="0" fillId="8" borderId="40" xfId="0" applyNumberFormat="1" applyFont="1" applyFill="1" applyBorder="1" applyAlignment="1">
      <alignment horizontal="center" vertical="center"/>
    </xf>
    <xf numFmtId="164" fontId="0" fillId="0" borderId="12" xfId="0" applyNumberFormat="1" applyFont="1" applyBorder="1" applyAlignment="1"/>
    <xf numFmtId="164" fontId="0" fillId="0" borderId="12" xfId="0" applyNumberFormat="1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40" xfId="0" applyFont="1" applyBorder="1" applyAlignment="1">
      <alignment horizontal="center" vertical="center"/>
    </xf>
    <xf numFmtId="0" fontId="14" fillId="5" borderId="14" xfId="0" applyFont="1" applyFill="1" applyBorder="1" applyAlignment="1">
      <alignment horizontal="center" vertical="center"/>
    </xf>
    <xf numFmtId="0" fontId="14" fillId="5" borderId="15" xfId="0" applyFont="1" applyFill="1" applyBorder="1" applyAlignment="1">
      <alignment horizontal="center" vertical="center"/>
    </xf>
    <xf numFmtId="0" fontId="14" fillId="5" borderId="37" xfId="0" applyFont="1" applyFill="1" applyBorder="1" applyAlignment="1">
      <alignment horizontal="center" vertical="center"/>
    </xf>
    <xf numFmtId="0" fontId="14" fillId="5" borderId="33" xfId="0" applyFont="1" applyFill="1" applyBorder="1" applyAlignment="1">
      <alignment horizontal="center" vertical="center"/>
    </xf>
    <xf numFmtId="0" fontId="14" fillId="5" borderId="38" xfId="0" applyFont="1" applyFill="1" applyBorder="1" applyAlignment="1">
      <alignment horizontal="center" vertical="center"/>
    </xf>
    <xf numFmtId="0" fontId="14" fillId="5" borderId="27" xfId="0" applyFont="1" applyFill="1" applyBorder="1" applyAlignment="1">
      <alignment horizontal="center" vertical="center"/>
    </xf>
    <xf numFmtId="167" fontId="10" fillId="0" borderId="0" xfId="0" applyNumberFormat="1" applyFont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167" fontId="10" fillId="0" borderId="9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10" fillId="0" borderId="4" xfId="0" applyFont="1" applyBorder="1" applyAlignment="1">
      <alignment horizontal="center" vertical="top" wrapText="1"/>
    </xf>
    <xf numFmtId="0" fontId="11" fillId="0" borderId="5" xfId="0" applyFont="1" applyBorder="1"/>
    <xf numFmtId="0" fontId="9" fillId="0" borderId="4" xfId="0" applyFont="1" applyBorder="1" applyAlignment="1">
      <alignment horizontal="center"/>
    </xf>
    <xf numFmtId="2" fontId="9" fillId="0" borderId="2" xfId="0" applyNumberFormat="1" applyFont="1" applyBorder="1" applyAlignment="1">
      <alignment horizontal="center"/>
    </xf>
    <xf numFmtId="0" fontId="11" fillId="0" borderId="2" xfId="0" applyFont="1" applyBorder="1"/>
    <xf numFmtId="165" fontId="12" fillId="0" borderId="1" xfId="0" applyNumberFormat="1" applyFont="1" applyBorder="1" applyAlignment="1">
      <alignment horizontal="center"/>
    </xf>
    <xf numFmtId="0" fontId="11" fillId="0" borderId="3" xfId="0" applyFont="1" applyBorder="1"/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10" fillId="0" borderId="7" xfId="0" applyFont="1" applyBorder="1" applyAlignment="1">
      <alignment horizontal="center" vertical="top" wrapText="1"/>
    </xf>
    <xf numFmtId="0" fontId="0" fillId="0" borderId="0" xfId="0" applyFont="1" applyAlignment="1"/>
    <xf numFmtId="0" fontId="9" fillId="0" borderId="5" xfId="0" applyFont="1" applyBorder="1" applyAlignment="1">
      <alignment horizontal="center"/>
    </xf>
    <xf numFmtId="165" fontId="12" fillId="0" borderId="4" xfId="0" applyNumberFormat="1" applyFont="1" applyBorder="1" applyAlignment="1">
      <alignment horizontal="center"/>
    </xf>
    <xf numFmtId="0" fontId="11" fillId="0" borderId="6" xfId="0" applyFont="1" applyBorder="1"/>
    <xf numFmtId="0" fontId="9" fillId="0" borderId="0" xfId="0" applyFont="1" applyAlignment="1">
      <alignment horizontal="center"/>
    </xf>
    <xf numFmtId="0" fontId="6" fillId="0" borderId="5" xfId="0" applyFont="1" applyBorder="1" applyAlignment="1">
      <alignment horizontal="left" vertical="center" wrapText="1"/>
    </xf>
    <xf numFmtId="0" fontId="5" fillId="0" borderId="5" xfId="0" applyFont="1" applyBorder="1"/>
    <xf numFmtId="0" fontId="5" fillId="0" borderId="6" xfId="0" applyFont="1" applyBorder="1"/>
    <xf numFmtId="1" fontId="7" fillId="0" borderId="0" xfId="0" applyNumberFormat="1" applyFont="1" applyAlignment="1">
      <alignment horizontal="center" wrapText="1"/>
    </xf>
    <xf numFmtId="0" fontId="5" fillId="0" borderId="8" xfId="0" applyFont="1" applyBorder="1"/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1" xfId="0" applyFont="1" applyBorder="1" applyAlignment="1">
      <alignment horizontal="left" wrapText="1"/>
    </xf>
    <xf numFmtId="1" fontId="6" fillId="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2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12" fillId="0" borderId="7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7" fillId="0" borderId="0" xfId="0" applyFont="1" applyAlignment="1">
      <alignment horizontal="left" wrapText="1"/>
    </xf>
    <xf numFmtId="0" fontId="9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49" fontId="6" fillId="0" borderId="4" xfId="0" applyNumberFormat="1" applyFont="1" applyBorder="1" applyAlignment="1">
      <alignment horizontal="center" vertical="center" shrinkToFit="1"/>
    </xf>
    <xf numFmtId="49" fontId="6" fillId="0" borderId="5" xfId="0" applyNumberFormat="1" applyFont="1" applyBorder="1" applyAlignment="1">
      <alignment horizontal="center" vertical="center" shrinkToFit="1"/>
    </xf>
    <xf numFmtId="49" fontId="6" fillId="0" borderId="1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167" fontId="6" fillId="0" borderId="5" xfId="0" applyNumberFormat="1" applyFont="1" applyBorder="1" applyAlignment="1">
      <alignment horizontal="center" vertical="center"/>
    </xf>
    <xf numFmtId="167" fontId="6" fillId="0" borderId="6" xfId="0" applyNumberFormat="1" applyFont="1" applyBorder="1" applyAlignment="1">
      <alignment horizontal="center" vertical="center"/>
    </xf>
    <xf numFmtId="167" fontId="6" fillId="0" borderId="9" xfId="0" applyNumberFormat="1" applyFont="1" applyBorder="1" applyAlignment="1">
      <alignment horizontal="center" vertical="center"/>
    </xf>
    <xf numFmtId="167" fontId="6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5" fillId="0" borderId="11" xfId="0" applyFont="1" applyBorder="1"/>
    <xf numFmtId="0" fontId="5" fillId="0" borderId="9" xfId="0" applyFont="1" applyBorder="1"/>
    <xf numFmtId="0" fontId="4" fillId="0" borderId="4" xfId="0" applyFont="1" applyBorder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4" fillId="0" borderId="4" xfId="0" applyFont="1" applyBorder="1" applyAlignment="1">
      <alignment horizontal="center" vertical="center"/>
    </xf>
    <xf numFmtId="0" fontId="5" fillId="0" borderId="10" xfId="0" applyFont="1" applyBorder="1"/>
    <xf numFmtId="49" fontId="1" fillId="0" borderId="13" xfId="0" applyNumberFormat="1" applyFont="1" applyBorder="1" applyAlignment="1"/>
    <xf numFmtId="0" fontId="1" fillId="0" borderId="33" xfId="0" applyFont="1" applyBorder="1" applyAlignment="1"/>
    <xf numFmtId="167" fontId="0" fillId="0" borderId="34" xfId="0" applyNumberFormat="1" applyFont="1" applyBorder="1" applyAlignment="1"/>
  </cellXfs>
  <cellStyles count="1">
    <cellStyle name="Normal" xfId="0" builtinId="0"/>
  </cellStyles>
  <dxfs count="2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ormSampel!$B$4" lockText="1" noThreeD="1"/>
</file>

<file path=xl/ctrlProps/ctrlProp2.xml><?xml version="1.0" encoding="utf-8"?>
<formControlPr xmlns="http://schemas.microsoft.com/office/spreadsheetml/2009/9/main" objectType="CheckBox" checked="Checked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fmlaLink="FormSampel!$B$4" lockText="1" noThreeD="1"/>
</file>

<file path=xl/ctrlProps/ctrlProp8.xml><?xml version="1.0" encoding="utf-8"?>
<formControlPr xmlns="http://schemas.microsoft.com/office/spreadsheetml/2009/9/main" objectType="CheckBox" checked="Checked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fmlaLink="FormSampel!$B$4" lockText="1" noThreeD="1"/>
</file>

<file path=xl/ctrlProps/ctrlProp14.xml><?xml version="1.0" encoding="utf-8"?>
<formControlPr xmlns="http://schemas.microsoft.com/office/spreadsheetml/2009/9/main" objectType="CheckBox" checked="Checked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fmlaLink="FormSampel!$B$4" lockText="1" noThreeD="1"/>
</file>

<file path=xl/ctrlProps/ctrlProp20.xml><?xml version="1.0" encoding="utf-8"?>
<formControlPr xmlns="http://schemas.microsoft.com/office/spreadsheetml/2009/9/main" objectType="CheckBox" checked="Checked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fmlaLink="FormSampel!$B$4" lockText="1" noThreeD="1"/>
</file>

<file path=xl/ctrlProps/ctrlProp26.xml><?xml version="1.0" encoding="utf-8"?>
<formControlPr xmlns="http://schemas.microsoft.com/office/spreadsheetml/2009/9/main" objectType="CheckBox" checked="Checked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fmlaLink="FormSampel!$B$4" lockText="1" noThreeD="1"/>
</file>

<file path=xl/ctrlProps/ctrlProp32.xml><?xml version="1.0" encoding="utf-8"?>
<formControlPr xmlns="http://schemas.microsoft.com/office/spreadsheetml/2009/9/main" objectType="CheckBox" checked="Checked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fmlaLink="FormSampel!$B$4" lockText="1" noThreeD="1"/>
</file>

<file path=xl/ctrlProps/ctrlProp38.xml><?xml version="1.0" encoding="utf-8"?>
<formControlPr xmlns="http://schemas.microsoft.com/office/spreadsheetml/2009/9/main" objectType="CheckBox" checked="Checked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fmlaLink="FormSampel!$B$4" lockText="1" noThreeD="1"/>
</file>

<file path=xl/ctrlProps/ctrlProp44.xml><?xml version="1.0" encoding="utf-8"?>
<formControlPr xmlns="http://schemas.microsoft.com/office/spreadsheetml/2009/9/main" objectType="CheckBox" checked="Checked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fmlaLink="FormSampel!$B$4" lockText="1" noThreeD="1"/>
</file>

<file path=xl/ctrlProps/ctrlProp50.xml><?xml version="1.0" encoding="utf-8"?>
<formControlPr xmlns="http://schemas.microsoft.com/office/spreadsheetml/2009/9/main" objectType="CheckBox" checked="Checked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fmlaLink="FormSampel!$B$4" lockText="1" noThreeD="1"/>
</file>

<file path=xl/ctrlProps/ctrlProp56.xml><?xml version="1.0" encoding="utf-8"?>
<formControlPr xmlns="http://schemas.microsoft.com/office/spreadsheetml/2009/9/main" objectType="CheckBox" checked="Checked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fmlaLink="FormSampel!$B$4" lockText="1" noThreeD="1"/>
</file>

<file path=xl/ctrlProps/ctrlProp62.xml><?xml version="1.0" encoding="utf-8"?>
<formControlPr xmlns="http://schemas.microsoft.com/office/spreadsheetml/2009/9/main" objectType="CheckBox" checked="Checked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fmlaLink="FormSampel!$B$4" lockText="1" noThreeD="1"/>
</file>

<file path=xl/ctrlProps/ctrlProp68.xml><?xml version="1.0" encoding="utf-8"?>
<formControlPr xmlns="http://schemas.microsoft.com/office/spreadsheetml/2009/9/main" objectType="CheckBox" checked="Checked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fmlaLink="FormSampel!$B$4" lockText="1" noThreeD="1"/>
</file>

<file path=xl/ctrlProps/ctrlProp74.xml><?xml version="1.0" encoding="utf-8"?>
<formControlPr xmlns="http://schemas.microsoft.com/office/spreadsheetml/2009/9/main" objectType="CheckBox" checked="Checked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fmlaLink="FormSampel!$B$4" lockText="1" noThreeD="1"/>
</file>

<file path=xl/ctrlProps/ctrlProp80.xml><?xml version="1.0" encoding="utf-8"?>
<formControlPr xmlns="http://schemas.microsoft.com/office/spreadsheetml/2009/9/main" objectType="CheckBox" checked="Checked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fmlaLink="FormSampel!$B$4" lockText="1" noThreeD="1"/>
</file>

<file path=xl/ctrlProps/ctrlProp86.xml><?xml version="1.0" encoding="utf-8"?>
<formControlPr xmlns="http://schemas.microsoft.com/office/spreadsheetml/2009/9/main" objectType="CheckBox" checked="Checked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K74"/>
  <sheetViews>
    <sheetView workbookViewId="0">
      <selection activeCell="F7" sqref="F7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style="70" customWidth="1"/>
    <col min="5" max="5" width="4" customWidth="1"/>
    <col min="6" max="6" width="24" style="73" customWidth="1"/>
    <col min="7" max="10" width="9.140625" style="76"/>
  </cols>
  <sheetData>
    <row r="1" spans="1:11" ht="15.75" customHeight="1" thickBot="1" x14ac:dyDescent="0.3"/>
    <row r="2" spans="1:11" ht="15.75" customHeight="1" thickBot="1" x14ac:dyDescent="0.3">
      <c r="A2" s="60" t="s">
        <v>3</v>
      </c>
      <c r="B2" s="152" t="s">
        <v>93</v>
      </c>
      <c r="E2" s="83" t="s">
        <v>90</v>
      </c>
      <c r="F2" s="83" t="s">
        <v>91</v>
      </c>
      <c r="G2" s="82" t="s">
        <v>92</v>
      </c>
      <c r="H2" s="82"/>
      <c r="I2" s="82"/>
      <c r="J2" s="82"/>
    </row>
    <row r="3" spans="1:11" ht="15" customHeight="1" x14ac:dyDescent="0.25">
      <c r="A3" s="59" t="s">
        <v>63</v>
      </c>
      <c r="B3" s="63" t="s">
        <v>65</v>
      </c>
      <c r="E3" s="83"/>
      <c r="F3" s="84"/>
      <c r="G3" s="77" t="s">
        <v>72</v>
      </c>
      <c r="H3" s="78" t="s">
        <v>80</v>
      </c>
      <c r="I3" s="79" t="s">
        <v>14</v>
      </c>
      <c r="J3" s="80" t="s">
        <v>73</v>
      </c>
    </row>
    <row r="4" spans="1:11" ht="15.75" customHeight="1" x14ac:dyDescent="0.25">
      <c r="A4" s="61" t="s">
        <v>64</v>
      </c>
      <c r="B4" s="46" t="b">
        <v>0</v>
      </c>
      <c r="E4" s="74">
        <v>1</v>
      </c>
      <c r="F4" s="75">
        <v>2024100025</v>
      </c>
      <c r="G4" s="81">
        <v>89.713999999999999</v>
      </c>
      <c r="H4" s="81">
        <v>65.992999999999995</v>
      </c>
      <c r="I4" s="81">
        <v>10.407999999999999</v>
      </c>
      <c r="J4" s="81">
        <v>267.50599999999997</v>
      </c>
      <c r="K4" s="70"/>
    </row>
    <row r="5" spans="1:11" ht="15.75" thickBot="1" x14ac:dyDescent="0.3">
      <c r="A5" s="47" t="s">
        <v>66</v>
      </c>
      <c r="B5" s="65" t="b">
        <v>1</v>
      </c>
      <c r="E5" s="74">
        <v>2</v>
      </c>
      <c r="F5" s="75">
        <v>2024100032</v>
      </c>
      <c r="G5" s="81">
        <v>1687.923</v>
      </c>
      <c r="H5" s="81">
        <v>123.673</v>
      </c>
      <c r="I5" s="81">
        <v>170.13200000000001</v>
      </c>
      <c r="J5" s="81">
        <v>3602.9679999999998</v>
      </c>
      <c r="K5" s="70"/>
    </row>
    <row r="6" spans="1:11" x14ac:dyDescent="0.25">
      <c r="A6" s="62" t="s">
        <v>67</v>
      </c>
      <c r="B6" s="67"/>
      <c r="E6" s="74">
        <v>3</v>
      </c>
      <c r="F6" s="75">
        <v>2024100033</v>
      </c>
      <c r="G6" s="81">
        <v>1515.479</v>
      </c>
      <c r="H6" s="81">
        <v>117.711</v>
      </c>
      <c r="I6" s="81">
        <v>163.624</v>
      </c>
      <c r="J6" s="81">
        <v>3460.8490000000002</v>
      </c>
      <c r="K6" s="70"/>
    </row>
    <row r="7" spans="1:11" x14ac:dyDescent="0.25">
      <c r="A7" s="61" t="s">
        <v>68</v>
      </c>
      <c r="B7" s="64" t="b">
        <v>1</v>
      </c>
      <c r="E7" s="74">
        <v>4</v>
      </c>
      <c r="F7" s="75"/>
      <c r="G7" s="81"/>
      <c r="H7" s="81"/>
      <c r="I7" s="81"/>
      <c r="J7" s="81"/>
      <c r="K7" s="70"/>
    </row>
    <row r="8" spans="1:11" ht="15.75" thickBot="1" x14ac:dyDescent="0.3">
      <c r="A8" s="47" t="s">
        <v>88</v>
      </c>
      <c r="B8" s="65" t="b">
        <v>0</v>
      </c>
      <c r="E8" s="74">
        <v>5</v>
      </c>
      <c r="F8" s="75"/>
      <c r="G8" s="81"/>
      <c r="H8" s="81"/>
      <c r="I8" s="81"/>
      <c r="J8" s="81"/>
      <c r="K8" s="70"/>
    </row>
    <row r="9" spans="1:11" x14ac:dyDescent="0.25">
      <c r="A9" s="62" t="s">
        <v>69</v>
      </c>
      <c r="B9" s="66"/>
      <c r="E9" s="74">
        <v>6</v>
      </c>
      <c r="F9" s="75"/>
      <c r="G9" s="81"/>
      <c r="H9" s="81"/>
      <c r="I9" s="81"/>
      <c r="J9" s="81"/>
      <c r="K9" s="70"/>
    </row>
    <row r="10" spans="1:11" x14ac:dyDescent="0.25">
      <c r="A10" s="61" t="s">
        <v>70</v>
      </c>
      <c r="B10" s="64" t="b">
        <v>1</v>
      </c>
      <c r="E10" s="74">
        <v>7</v>
      </c>
      <c r="F10" s="75"/>
      <c r="G10" s="81"/>
      <c r="H10" s="81"/>
      <c r="I10" s="81"/>
      <c r="J10" s="81"/>
      <c r="K10" s="70"/>
    </row>
    <row r="11" spans="1:11" ht="15.75" customHeight="1" thickBot="1" x14ac:dyDescent="0.3">
      <c r="A11" s="49" t="s">
        <v>71</v>
      </c>
      <c r="B11" s="65" t="b">
        <v>0</v>
      </c>
      <c r="E11" s="74">
        <v>8</v>
      </c>
      <c r="F11" s="75"/>
      <c r="G11" s="81"/>
      <c r="H11" s="81"/>
      <c r="I11" s="81"/>
      <c r="J11" s="81"/>
      <c r="K11" s="70"/>
    </row>
    <row r="12" spans="1:11" ht="15" customHeight="1" x14ac:dyDescent="0.25">
      <c r="A12" s="85" t="s">
        <v>42</v>
      </c>
      <c r="B12" s="87" t="s">
        <v>78</v>
      </c>
      <c r="C12" s="89" t="s">
        <v>79</v>
      </c>
      <c r="E12" s="74">
        <v>9</v>
      </c>
      <c r="F12" s="75"/>
      <c r="G12" s="81"/>
      <c r="H12" s="81"/>
      <c r="I12" s="81"/>
      <c r="J12" s="81"/>
      <c r="K12" s="70"/>
    </row>
    <row r="13" spans="1:11" s="39" customFormat="1" ht="15" customHeight="1" x14ac:dyDescent="0.25">
      <c r="A13" s="86"/>
      <c r="B13" s="88"/>
      <c r="C13" s="90"/>
      <c r="D13" s="70"/>
      <c r="E13" s="74">
        <v>10</v>
      </c>
      <c r="F13" s="75"/>
      <c r="G13" s="81"/>
      <c r="H13" s="81"/>
      <c r="I13" s="81"/>
      <c r="J13" s="81"/>
      <c r="K13" s="70"/>
    </row>
    <row r="14" spans="1:11" ht="15.75" customHeight="1" x14ac:dyDescent="0.25">
      <c r="A14" s="68" t="s">
        <v>72</v>
      </c>
      <c r="B14" s="46" t="s">
        <v>81</v>
      </c>
      <c r="C14" s="52">
        <v>45808</v>
      </c>
      <c r="E14" s="74">
        <v>11</v>
      </c>
      <c r="F14" s="75"/>
      <c r="G14" s="81"/>
      <c r="H14" s="81"/>
      <c r="I14" s="81"/>
      <c r="J14" s="81"/>
      <c r="K14" s="70"/>
    </row>
    <row r="15" spans="1:11" x14ac:dyDescent="0.25">
      <c r="A15" s="71" t="s">
        <v>14</v>
      </c>
      <c r="B15" s="46" t="s">
        <v>82</v>
      </c>
      <c r="C15" s="52">
        <v>45716</v>
      </c>
      <c r="E15" s="74">
        <v>12</v>
      </c>
      <c r="F15" s="75"/>
      <c r="G15" s="81"/>
      <c r="H15" s="81"/>
      <c r="I15" s="81"/>
      <c r="J15" s="81"/>
    </row>
    <row r="16" spans="1:11" ht="15" customHeight="1" x14ac:dyDescent="0.25">
      <c r="A16" s="71" t="s">
        <v>73</v>
      </c>
      <c r="B16" s="46" t="s">
        <v>83</v>
      </c>
      <c r="C16" s="52">
        <v>45688</v>
      </c>
      <c r="E16" s="74">
        <v>13</v>
      </c>
      <c r="F16" s="75"/>
      <c r="G16" s="81"/>
      <c r="H16" s="81"/>
      <c r="I16" s="81"/>
      <c r="J16" s="81"/>
    </row>
    <row r="17" spans="1:10" ht="15.75" customHeight="1" thickBot="1" x14ac:dyDescent="0.3">
      <c r="A17" s="72" t="s">
        <v>89</v>
      </c>
      <c r="B17" s="51" t="s">
        <v>84</v>
      </c>
      <c r="C17" s="53">
        <v>46142</v>
      </c>
      <c r="E17" s="74">
        <v>14</v>
      </c>
      <c r="F17" s="75"/>
      <c r="G17" s="81"/>
      <c r="H17" s="81"/>
      <c r="I17" s="81"/>
      <c r="J17" s="81"/>
    </row>
    <row r="18" spans="1:10" ht="15" customHeight="1" x14ac:dyDescent="0.25">
      <c r="A18" s="58" t="s">
        <v>85</v>
      </c>
      <c r="B18" s="54"/>
      <c r="C18" s="55"/>
      <c r="E18" s="74">
        <v>15</v>
      </c>
      <c r="F18" s="75"/>
      <c r="G18" s="81"/>
      <c r="H18" s="81"/>
      <c r="I18" s="81"/>
      <c r="J18" s="81"/>
    </row>
    <row r="19" spans="1:10" ht="15.75" customHeight="1" x14ac:dyDescent="0.25">
      <c r="A19" s="56" t="s">
        <v>86</v>
      </c>
      <c r="B19" s="153" t="s">
        <v>94</v>
      </c>
      <c r="C19" s="57"/>
    </row>
    <row r="20" spans="1:10" ht="15.75" thickBot="1" x14ac:dyDescent="0.3">
      <c r="A20" s="50" t="s">
        <v>87</v>
      </c>
      <c r="B20" s="154">
        <v>45570</v>
      </c>
      <c r="C20" s="48"/>
    </row>
    <row r="21" spans="1:10" ht="15" customHeight="1" x14ac:dyDescent="0.25"/>
    <row r="22" spans="1:10" ht="15" customHeight="1" x14ac:dyDescent="0.25"/>
    <row r="23" spans="1:10" ht="15" customHeight="1" x14ac:dyDescent="0.25"/>
    <row r="24" spans="1:10" ht="15.7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.7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.75" customHeight="1" x14ac:dyDescent="0.25"/>
    <row r="36" ht="15" customHeight="1" x14ac:dyDescent="0.25"/>
    <row r="37" ht="15" customHeight="1" x14ac:dyDescent="0.25"/>
    <row r="38" ht="15" customHeight="1" x14ac:dyDescent="0.25"/>
    <row r="39" ht="15.75" customHeight="1" x14ac:dyDescent="0.25"/>
    <row r="41" ht="15" customHeight="1" x14ac:dyDescent="0.25"/>
    <row r="42" ht="15" customHeight="1" x14ac:dyDescent="0.25"/>
    <row r="43" ht="15" customHeight="1" x14ac:dyDescent="0.25"/>
    <row r="44" ht="15.75" customHeight="1" x14ac:dyDescent="0.25"/>
    <row r="46" ht="15" customHeight="1" x14ac:dyDescent="0.25"/>
    <row r="47" ht="15" customHeight="1" x14ac:dyDescent="0.25"/>
    <row r="48" ht="15" customHeight="1" x14ac:dyDescent="0.25"/>
    <row r="49" spans="5:5" ht="15.75" customHeight="1" x14ac:dyDescent="0.25"/>
    <row r="50" spans="5:5" x14ac:dyDescent="0.25">
      <c r="E50" s="69"/>
    </row>
    <row r="51" spans="5:5" ht="15" customHeight="1" x14ac:dyDescent="0.25"/>
    <row r="52" spans="5:5" ht="15" customHeight="1" x14ac:dyDescent="0.25"/>
    <row r="53" spans="5:5" ht="15" customHeight="1" x14ac:dyDescent="0.25"/>
    <row r="54" spans="5:5" ht="15.75" customHeight="1" x14ac:dyDescent="0.25"/>
    <row r="56" spans="5:5" ht="15" customHeight="1" x14ac:dyDescent="0.25"/>
    <row r="57" spans="5:5" ht="15" customHeight="1" x14ac:dyDescent="0.25"/>
    <row r="58" spans="5:5" ht="15" customHeight="1" x14ac:dyDescent="0.25"/>
    <row r="59" spans="5:5" ht="15.75" customHeight="1" x14ac:dyDescent="0.25"/>
    <row r="61" spans="5:5" ht="15" customHeight="1" x14ac:dyDescent="0.25"/>
    <row r="62" spans="5:5" ht="15" customHeight="1" x14ac:dyDescent="0.25"/>
    <row r="63" spans="5:5" ht="15" customHeight="1" x14ac:dyDescent="0.25"/>
    <row r="64" spans="5:5" ht="15.75" customHeight="1" x14ac:dyDescent="0.25"/>
    <row r="66" ht="15" customHeight="1" x14ac:dyDescent="0.25"/>
    <row r="67" ht="15" customHeight="1" x14ac:dyDescent="0.25"/>
    <row r="68" ht="15" customHeight="1" x14ac:dyDescent="0.25"/>
    <row r="69" ht="15.75" customHeight="1" x14ac:dyDescent="0.25"/>
    <row r="71" ht="15" customHeight="1" x14ac:dyDescent="0.25"/>
    <row r="72" ht="15" customHeight="1" x14ac:dyDescent="0.25"/>
    <row r="73" ht="15" customHeight="1" x14ac:dyDescent="0.25"/>
    <row r="74" ht="15.75" customHeight="1" x14ac:dyDescent="0.25"/>
  </sheetData>
  <mergeCells count="6">
    <mergeCell ref="G2:J2"/>
    <mergeCell ref="F2:F3"/>
    <mergeCell ref="E2:E3"/>
    <mergeCell ref="A12:A13"/>
    <mergeCell ref="B12:B13"/>
    <mergeCell ref="C12:C13"/>
  </mergeCells>
  <conditionalFormatting sqref="B4">
    <cfRule type="cellIs" dxfId="22" priority="7" operator="equal">
      <formula>"Sila Pilih"</formula>
    </cfRule>
    <cfRule type="cellIs" dxfId="21" priority="99" operator="equal">
      <formula>FALSE</formula>
    </cfRule>
    <cfRule type="cellIs" dxfId="20" priority="100" operator="equal">
      <formula>TRUE</formula>
    </cfRule>
  </conditionalFormatting>
  <conditionalFormatting sqref="B5">
    <cfRule type="cellIs" dxfId="19" priority="6" operator="equal">
      <formula>"Sila Pilih"</formula>
    </cfRule>
    <cfRule type="cellIs" dxfId="18" priority="97" operator="equal">
      <formula>FALSE</formula>
    </cfRule>
    <cfRule type="cellIs" dxfId="17" priority="98" operator="equal">
      <formula>TRUE</formula>
    </cfRule>
  </conditionalFormatting>
  <conditionalFormatting sqref="B7">
    <cfRule type="cellIs" dxfId="16" priority="5" operator="equal">
      <formula>"Sila Pilih"</formula>
    </cfRule>
    <cfRule type="cellIs" dxfId="15" priority="95" operator="equal">
      <formula>FALSE</formula>
    </cfRule>
    <cfRule type="cellIs" dxfId="14" priority="96" operator="equal">
      <formula>TRUE</formula>
    </cfRule>
  </conditionalFormatting>
  <conditionalFormatting sqref="B8">
    <cfRule type="cellIs" dxfId="13" priority="4" operator="equal">
      <formula>"Sila Pilih"</formula>
    </cfRule>
    <cfRule type="cellIs" dxfId="12" priority="93" operator="equal">
      <formula>FALSE</formula>
    </cfRule>
    <cfRule type="cellIs" dxfId="11" priority="94" operator="equal">
      <formula>TRUE</formula>
    </cfRule>
  </conditionalFormatting>
  <conditionalFormatting sqref="B10">
    <cfRule type="cellIs" dxfId="10" priority="3" operator="equal">
      <formula>"Sila Pilih"</formula>
    </cfRule>
    <cfRule type="cellIs" dxfId="9" priority="91" operator="equal">
      <formula>FALSE</formula>
    </cfRule>
    <cfRule type="cellIs" dxfId="8" priority="92" operator="equal">
      <formula>TRUE</formula>
    </cfRule>
  </conditionalFormatting>
  <conditionalFormatting sqref="B11">
    <cfRule type="cellIs" dxfId="7" priority="2" operator="equal">
      <formula>"Sila Pilih"</formula>
    </cfRule>
    <cfRule type="cellIs" dxfId="6" priority="89" operator="equal">
      <formula>FALSE</formula>
    </cfRule>
    <cfRule type="cellIs" dxfId="5" priority="90" operator="equal">
      <formula>TRUE</formula>
    </cfRule>
  </conditionalFormatting>
  <conditionalFormatting sqref="B2">
    <cfRule type="expression" dxfId="4" priority="88">
      <formula>LEN(B2)=0</formula>
    </cfRule>
  </conditionalFormatting>
  <conditionalFormatting sqref="B14:C17">
    <cfRule type="expression" dxfId="3" priority="87">
      <formula>LEN(B14:C17)=0</formula>
    </cfRule>
  </conditionalFormatting>
  <conditionalFormatting sqref="B19">
    <cfRule type="expression" dxfId="2" priority="86">
      <formula>LEN(B19)=0</formula>
    </cfRule>
  </conditionalFormatting>
  <conditionalFormatting sqref="B20">
    <cfRule type="expression" dxfId="1" priority="85">
      <formula>LEN(B20)=0</formula>
    </cfRule>
  </conditionalFormatting>
  <conditionalFormatting sqref="F4:J18">
    <cfRule type="expression" dxfId="0" priority="1">
      <formula>LEN(F4)=0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31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FormSampel!F4</f>
        <v>2024100025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 t="str">
        <f>FormSampel!B2</f>
        <v>051124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4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5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6</v>
      </c>
      <c r="B7" s="117"/>
      <c r="C7" s="128" t="s">
        <v>7</v>
      </c>
      <c r="D7" s="117"/>
      <c r="E7" s="117"/>
      <c r="F7" s="2" t="s">
        <v>8</v>
      </c>
      <c r="G7" s="116" t="s">
        <v>9</v>
      </c>
      <c r="H7" s="117"/>
      <c r="I7" s="117"/>
      <c r="J7" s="118"/>
    </row>
    <row r="8" spans="1:26" ht="15" customHeight="1" x14ac:dyDescent="0.25">
      <c r="A8" s="129" t="s">
        <v>10</v>
      </c>
      <c r="B8" s="111"/>
      <c r="C8" s="130" t="s">
        <v>11</v>
      </c>
      <c r="D8" s="111"/>
      <c r="E8" s="4"/>
      <c r="F8" s="5" t="s">
        <v>12</v>
      </c>
      <c r="G8" s="6" t="s">
        <v>13</v>
      </c>
      <c r="H8" s="6" t="s">
        <v>14</v>
      </c>
      <c r="I8" s="119"/>
      <c r="J8" s="120"/>
    </row>
    <row r="9" spans="1:26" ht="30" customHeight="1" x14ac:dyDescent="0.25">
      <c r="A9" s="131" t="s">
        <v>15</v>
      </c>
      <c r="B9" s="111"/>
      <c r="C9" s="130" t="s">
        <v>16</v>
      </c>
      <c r="D9" s="11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9" t="s">
        <v>20</v>
      </c>
      <c r="B10" s="111"/>
      <c r="C10" s="130" t="s">
        <v>21</v>
      </c>
      <c r="D10" s="11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1" t="s">
        <v>25</v>
      </c>
      <c r="B11" s="111"/>
      <c r="C11" s="134" t="s">
        <v>26</v>
      </c>
      <c r="D11" s="11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9" t="s">
        <v>30</v>
      </c>
      <c r="B12" s="111"/>
      <c r="C12" s="130" t="s">
        <v>31</v>
      </c>
      <c r="D12" s="11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9" t="s">
        <v>35</v>
      </c>
      <c r="B13" s="111"/>
      <c r="C13" s="130" t="s">
        <v>36</v>
      </c>
      <c r="D13" s="11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9" t="s">
        <v>40</v>
      </c>
      <c r="B14" s="111"/>
      <c r="C14" s="130" t="s">
        <v>41</v>
      </c>
      <c r="D14" s="111"/>
      <c r="E14" s="7"/>
      <c r="F14" s="132" t="s">
        <v>42</v>
      </c>
      <c r="G14" s="111"/>
      <c r="H14" s="111"/>
      <c r="I14" s="133" t="s">
        <v>43</v>
      </c>
      <c r="J14" s="120"/>
    </row>
    <row r="15" spans="1:26" ht="15" customHeight="1" x14ac:dyDescent="0.25">
      <c r="A15" s="129" t="s">
        <v>44</v>
      </c>
      <c r="B15" s="111"/>
      <c r="C15" s="130" t="s">
        <v>45</v>
      </c>
      <c r="D15" s="111"/>
      <c r="E15" s="7"/>
      <c r="F15" s="43" t="s">
        <v>74</v>
      </c>
      <c r="G15" s="136" t="str">
        <f>FormSampel!B14</f>
        <v>HC 16350373 - 2</v>
      </c>
      <c r="H15" s="136"/>
      <c r="I15" s="91">
        <f>FormSampel!C14</f>
        <v>45808</v>
      </c>
      <c r="J15" s="92"/>
    </row>
    <row r="16" spans="1:26" ht="15" customHeight="1" x14ac:dyDescent="0.25">
      <c r="A16" s="129" t="s">
        <v>46</v>
      </c>
      <c r="B16" s="111"/>
      <c r="C16" s="135" t="s">
        <v>47</v>
      </c>
      <c r="D16" s="111"/>
      <c r="E16" s="111"/>
      <c r="F16" s="44" t="s">
        <v>75</v>
      </c>
      <c r="G16" s="99" t="str">
        <f>FormSampel!B15</f>
        <v>HC 15161426 - 2</v>
      </c>
      <c r="H16" s="99"/>
      <c r="I16" s="91">
        <f>FormSampel!C15</f>
        <v>45716</v>
      </c>
      <c r="J16" s="92"/>
    </row>
    <row r="17" spans="1:26" ht="15" customHeight="1" x14ac:dyDescent="0.25">
      <c r="A17" s="3"/>
      <c r="B17" s="2"/>
      <c r="C17" s="13"/>
      <c r="D17" s="13"/>
      <c r="E17" s="13"/>
      <c r="F17" s="44" t="s">
        <v>76</v>
      </c>
      <c r="G17" s="99" t="str">
        <f>FormSampel!B16</f>
        <v>HC 14813176 - 2</v>
      </c>
      <c r="H17" s="99"/>
      <c r="I17" s="91">
        <f>FormSampel!C16</f>
        <v>45688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8" t="str">
        <f>FormSampel!B17</f>
        <v>HC 28942277 - 2</v>
      </c>
      <c r="H18" s="98"/>
      <c r="I18" s="93">
        <f>FormSampel!C17</f>
        <v>46142</v>
      </c>
      <c r="J18" s="94"/>
    </row>
    <row r="19" spans="1:26" x14ac:dyDescent="0.25">
      <c r="A19" s="95" t="s">
        <v>48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49</v>
      </c>
      <c r="B20" s="101"/>
      <c r="C20" s="29">
        <f>FormSampel!G4</f>
        <v>89.713999999999999</v>
      </c>
      <c r="D20" s="30" t="s">
        <v>50</v>
      </c>
      <c r="E20" s="31">
        <v>1000</v>
      </c>
      <c r="F20" s="102" t="s">
        <v>51</v>
      </c>
      <c r="G20" s="101"/>
      <c r="H20" s="103" t="str">
        <f>IF(AND(C21&lt;0.15),"&lt;0.15",C21)</f>
        <v>&lt;0.15</v>
      </c>
      <c r="I20" s="104"/>
      <c r="J20" s="32" t="s">
        <v>52</v>
      </c>
    </row>
    <row r="21" spans="1:26" ht="15.75" customHeight="1" x14ac:dyDescent="0.25">
      <c r="A21" s="33" t="s">
        <v>53</v>
      </c>
      <c r="B21" s="34"/>
      <c r="C21" s="105">
        <f>C20/1000</f>
        <v>8.9714000000000002E-2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56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49</v>
      </c>
      <c r="B23" s="101"/>
      <c r="C23" s="29">
        <f>FormSampel!H4</f>
        <v>65.992999999999995</v>
      </c>
      <c r="D23" s="30" t="s">
        <v>50</v>
      </c>
      <c r="E23" s="36">
        <v>1000</v>
      </c>
      <c r="F23" s="102" t="s">
        <v>51</v>
      </c>
      <c r="G23" s="101"/>
      <c r="H23" s="103" t="str">
        <f>IF(C24&lt;0.15,"&lt;0.15",C24)</f>
        <v>&lt;0.15</v>
      </c>
      <c r="I23" s="104"/>
      <c r="J23" s="32" t="s">
        <v>52</v>
      </c>
    </row>
    <row r="24" spans="1:26" ht="15.75" customHeight="1" x14ac:dyDescent="0.25">
      <c r="A24" s="33" t="s">
        <v>53</v>
      </c>
      <c r="B24" s="34"/>
      <c r="C24" s="105">
        <f>C23/1000</f>
        <v>6.5992999999999996E-2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54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49</v>
      </c>
      <c r="B26" s="111"/>
      <c r="C26" s="29">
        <f>FormSampel!I4</f>
        <v>10.407999999999999</v>
      </c>
      <c r="D26" s="30" t="s">
        <v>50</v>
      </c>
      <c r="E26" s="36">
        <v>1000</v>
      </c>
      <c r="F26" s="112" t="s">
        <v>51</v>
      </c>
      <c r="G26" s="101"/>
      <c r="H26" s="103" t="str">
        <f>IF(AND(C27&lt;0.15),"&lt;0.15",C27)</f>
        <v>&lt;0.15</v>
      </c>
      <c r="I26" s="104"/>
      <c r="J26" s="37" t="s">
        <v>52</v>
      </c>
    </row>
    <row r="27" spans="1:26" ht="15.75" customHeight="1" x14ac:dyDescent="0.25">
      <c r="A27" s="33" t="s">
        <v>53</v>
      </c>
      <c r="B27" s="34"/>
      <c r="C27" s="113">
        <f>C26/1000</f>
        <v>1.0407999999999999E-2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55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49</v>
      </c>
      <c r="B29" s="111"/>
      <c r="C29" s="29">
        <f>FormSampel!J4</f>
        <v>267.50599999999997</v>
      </c>
      <c r="D29" s="30" t="s">
        <v>50</v>
      </c>
      <c r="E29" s="36">
        <v>1000</v>
      </c>
      <c r="F29" s="115" t="s">
        <v>51</v>
      </c>
      <c r="G29" s="111"/>
      <c r="H29" s="103">
        <f>IF(AND(C30&lt;0.15),"&lt;0.15",C30)</f>
        <v>0.26750599999999997</v>
      </c>
      <c r="I29" s="104"/>
      <c r="J29" s="32" t="s">
        <v>52</v>
      </c>
    </row>
    <row r="30" spans="1:26" ht="15.75" customHeight="1" x14ac:dyDescent="0.25">
      <c r="A30" s="33" t="s">
        <v>53</v>
      </c>
      <c r="B30" s="34"/>
      <c r="C30" s="105">
        <f>C29/1000</f>
        <v>0.26750599999999997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57</v>
      </c>
      <c r="B31" s="11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59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60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61</v>
      </c>
      <c r="B38" s="117"/>
      <c r="C38" s="117"/>
      <c r="D38" s="117"/>
      <c r="E38" s="118"/>
      <c r="F38" s="137" t="str">
        <f>FormSampel!B19</f>
        <v>PERMIT   AMIR   NASOHA</v>
      </c>
      <c r="G38" s="138"/>
      <c r="H38" s="141">
        <f>FormSampel!B20</f>
        <v>45570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62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F38:G39"/>
    <mergeCell ref="H38:J39"/>
    <mergeCell ref="A40:E41"/>
    <mergeCell ref="C30:D30"/>
    <mergeCell ref="A31:B31"/>
    <mergeCell ref="B32:E33"/>
    <mergeCell ref="B34:E35"/>
    <mergeCell ref="A38:E39"/>
    <mergeCell ref="A15:B15"/>
    <mergeCell ref="C15:D15"/>
    <mergeCell ref="I15:J15"/>
    <mergeCell ref="A16:B16"/>
    <mergeCell ref="C16:E16"/>
    <mergeCell ref="I16:J16"/>
    <mergeCell ref="G15:H15"/>
    <mergeCell ref="G16:H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I17:J17"/>
    <mergeCell ref="I18:J18"/>
    <mergeCell ref="A19:J19"/>
    <mergeCell ref="G18:H18"/>
    <mergeCell ref="G17:H1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view="pageLayout" zoomScale="112" zoomScaleNormal="100" zoomScalePageLayoutView="112" workbookViewId="0">
      <selection activeCell="G32" sqref="G32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FormSampel!F5</f>
        <v>2024100032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 t="str">
        <f>FormSampel!B2</f>
        <v>051124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4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5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6</v>
      </c>
      <c r="B7" s="117"/>
      <c r="C7" s="128" t="s">
        <v>7</v>
      </c>
      <c r="D7" s="117"/>
      <c r="E7" s="117"/>
      <c r="F7" s="42" t="s">
        <v>8</v>
      </c>
      <c r="G7" s="116" t="s">
        <v>9</v>
      </c>
      <c r="H7" s="117"/>
      <c r="I7" s="117"/>
      <c r="J7" s="118"/>
    </row>
    <row r="8" spans="1:26" ht="15" customHeight="1" x14ac:dyDescent="0.25">
      <c r="A8" s="129" t="s">
        <v>10</v>
      </c>
      <c r="B8" s="111"/>
      <c r="C8" s="130" t="s">
        <v>11</v>
      </c>
      <c r="D8" s="111"/>
      <c r="E8" s="4"/>
      <c r="F8" s="38" t="s">
        <v>12</v>
      </c>
      <c r="G8" s="6" t="s">
        <v>13</v>
      </c>
      <c r="H8" s="6" t="s">
        <v>14</v>
      </c>
      <c r="I8" s="119"/>
      <c r="J8" s="120"/>
    </row>
    <row r="9" spans="1:26" ht="30" customHeight="1" x14ac:dyDescent="0.25">
      <c r="A9" s="131" t="s">
        <v>15</v>
      </c>
      <c r="B9" s="111"/>
      <c r="C9" s="130" t="s">
        <v>16</v>
      </c>
      <c r="D9" s="111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9" t="s">
        <v>20</v>
      </c>
      <c r="B10" s="111"/>
      <c r="C10" s="130" t="s">
        <v>21</v>
      </c>
      <c r="D10" s="111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1" t="s">
        <v>25</v>
      </c>
      <c r="B11" s="111"/>
      <c r="C11" s="134" t="s">
        <v>26</v>
      </c>
      <c r="D11" s="111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9" t="s">
        <v>30</v>
      </c>
      <c r="B12" s="111"/>
      <c r="C12" s="130" t="s">
        <v>31</v>
      </c>
      <c r="D12" s="111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9" t="s">
        <v>35</v>
      </c>
      <c r="B13" s="111"/>
      <c r="C13" s="130" t="s">
        <v>36</v>
      </c>
      <c r="D13" s="111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9" t="s">
        <v>40</v>
      </c>
      <c r="B14" s="111"/>
      <c r="C14" s="130" t="s">
        <v>41</v>
      </c>
      <c r="D14" s="111"/>
      <c r="E14" s="7"/>
      <c r="F14" s="132" t="s">
        <v>42</v>
      </c>
      <c r="G14" s="111"/>
      <c r="H14" s="111"/>
      <c r="I14" s="133" t="s">
        <v>43</v>
      </c>
      <c r="J14" s="120"/>
    </row>
    <row r="15" spans="1:26" ht="15" customHeight="1" x14ac:dyDescent="0.25">
      <c r="A15" s="129" t="s">
        <v>44</v>
      </c>
      <c r="B15" s="111"/>
      <c r="C15" s="130" t="s">
        <v>45</v>
      </c>
      <c r="D15" s="111"/>
      <c r="E15" s="7"/>
      <c r="F15" s="43" t="s">
        <v>74</v>
      </c>
      <c r="G15" s="136" t="str">
        <f>FormSampel!B14</f>
        <v>HC 16350373 - 2</v>
      </c>
      <c r="H15" s="136"/>
      <c r="I15" s="91">
        <f>FormSampel!C14</f>
        <v>45808</v>
      </c>
      <c r="J15" s="92"/>
    </row>
    <row r="16" spans="1:26" ht="15" customHeight="1" x14ac:dyDescent="0.25">
      <c r="A16" s="129" t="s">
        <v>46</v>
      </c>
      <c r="B16" s="111"/>
      <c r="C16" s="135" t="s">
        <v>47</v>
      </c>
      <c r="D16" s="111"/>
      <c r="E16" s="111"/>
      <c r="F16" s="44" t="s">
        <v>75</v>
      </c>
      <c r="G16" s="99" t="str">
        <f>FormSampel!B15</f>
        <v>HC 15161426 - 2</v>
      </c>
      <c r="H16" s="99"/>
      <c r="I16" s="91">
        <f>FormSampel!C15</f>
        <v>45716</v>
      </c>
      <c r="J16" s="9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99" t="str">
        <f>FormSampel!B16</f>
        <v>HC 14813176 - 2</v>
      </c>
      <c r="H17" s="99"/>
      <c r="I17" s="91">
        <f>FormSampel!C16</f>
        <v>45688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8" t="str">
        <f>FormSampel!B17</f>
        <v>HC 28942277 - 2</v>
      </c>
      <c r="H18" s="98"/>
      <c r="I18" s="93">
        <f>FormSampel!C17</f>
        <v>46142</v>
      </c>
      <c r="J18" s="94"/>
    </row>
    <row r="19" spans="1:26" x14ac:dyDescent="0.25">
      <c r="A19" s="95" t="s">
        <v>48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49</v>
      </c>
      <c r="B20" s="101"/>
      <c r="C20" s="29">
        <f>FormSampel!G5</f>
        <v>1687.923</v>
      </c>
      <c r="D20" s="30" t="s">
        <v>50</v>
      </c>
      <c r="E20" s="31">
        <v>1000</v>
      </c>
      <c r="F20" s="102" t="s">
        <v>51</v>
      </c>
      <c r="G20" s="101"/>
      <c r="H20" s="103">
        <f>IF(AND(C21&lt;0.15),"&lt;0.15",C21)</f>
        <v>1.6879230000000001</v>
      </c>
      <c r="I20" s="104"/>
      <c r="J20" s="32" t="s">
        <v>52</v>
      </c>
    </row>
    <row r="21" spans="1:26" ht="15.75" customHeight="1" x14ac:dyDescent="0.25">
      <c r="A21" s="33" t="s">
        <v>53</v>
      </c>
      <c r="B21" s="34"/>
      <c r="C21" s="105">
        <f>C20/1000</f>
        <v>1.6879230000000001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56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49</v>
      </c>
      <c r="B23" s="101"/>
      <c r="C23" s="29">
        <f>FormSampel!H5</f>
        <v>123.673</v>
      </c>
      <c r="D23" s="30" t="s">
        <v>50</v>
      </c>
      <c r="E23" s="36">
        <v>1000</v>
      </c>
      <c r="F23" s="102" t="s">
        <v>51</v>
      </c>
      <c r="G23" s="101"/>
      <c r="H23" s="103" t="str">
        <f>IF(C24&lt;0.15,"&lt;0.15",C24)</f>
        <v>&lt;0.15</v>
      </c>
      <c r="I23" s="104"/>
      <c r="J23" s="32" t="s">
        <v>52</v>
      </c>
    </row>
    <row r="24" spans="1:26" ht="15.75" customHeight="1" x14ac:dyDescent="0.25">
      <c r="A24" s="33" t="s">
        <v>53</v>
      </c>
      <c r="B24" s="34"/>
      <c r="C24" s="105">
        <f>C23/1000</f>
        <v>0.12367300000000001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54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49</v>
      </c>
      <c r="B26" s="111"/>
      <c r="C26" s="29">
        <f>FormSampel!I5</f>
        <v>170.13200000000001</v>
      </c>
      <c r="D26" s="30" t="s">
        <v>50</v>
      </c>
      <c r="E26" s="36">
        <v>1000</v>
      </c>
      <c r="F26" s="112" t="s">
        <v>51</v>
      </c>
      <c r="G26" s="101"/>
      <c r="H26" s="103">
        <f>IF(AND(C27&lt;0.15),"&lt;0.15",C27)</f>
        <v>0.17013200000000001</v>
      </c>
      <c r="I26" s="104"/>
      <c r="J26" s="37" t="s">
        <v>52</v>
      </c>
    </row>
    <row r="27" spans="1:26" ht="15.75" customHeight="1" x14ac:dyDescent="0.25">
      <c r="A27" s="33" t="s">
        <v>53</v>
      </c>
      <c r="B27" s="34"/>
      <c r="C27" s="113">
        <f>C26/1000</f>
        <v>0.17013200000000001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55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49</v>
      </c>
      <c r="B29" s="111"/>
      <c r="C29" s="29">
        <f>FormSampel!J5</f>
        <v>3602.9679999999998</v>
      </c>
      <c r="D29" s="30" t="s">
        <v>50</v>
      </c>
      <c r="E29" s="36">
        <v>1000</v>
      </c>
      <c r="F29" s="115" t="s">
        <v>51</v>
      </c>
      <c r="G29" s="111"/>
      <c r="H29" s="103">
        <f>IF(AND(C30&lt;0.15),"&lt;0.15",C30)</f>
        <v>3.6029679999999997</v>
      </c>
      <c r="I29" s="104"/>
      <c r="J29" s="32" t="s">
        <v>52</v>
      </c>
    </row>
    <row r="30" spans="1:26" ht="15.75" customHeight="1" x14ac:dyDescent="0.25">
      <c r="A30" s="33" t="s">
        <v>53</v>
      </c>
      <c r="B30" s="34"/>
      <c r="C30" s="105">
        <f>C29/1000</f>
        <v>3.6029679999999997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57</v>
      </c>
      <c r="B31" s="11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59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60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61</v>
      </c>
      <c r="B38" s="117"/>
      <c r="C38" s="117"/>
      <c r="D38" s="117"/>
      <c r="E38" s="118"/>
      <c r="F38" s="137" t="str">
        <f>FormSampel!B19</f>
        <v>PERMIT   AMIR   NASOHA</v>
      </c>
      <c r="G38" s="138"/>
      <c r="H38" s="141">
        <f>FormSampel!B20</f>
        <v>45570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62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view="pageLayout" topLeftCell="A16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FormSampel!F6</f>
        <v>2024100033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 t="str">
        <f>FormSampel!B2</f>
        <v>051124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4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5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6</v>
      </c>
      <c r="B7" s="117"/>
      <c r="C7" s="128" t="s">
        <v>7</v>
      </c>
      <c r="D7" s="117"/>
      <c r="E7" s="117"/>
      <c r="F7" s="42" t="s">
        <v>8</v>
      </c>
      <c r="G7" s="116" t="s">
        <v>9</v>
      </c>
      <c r="H7" s="117"/>
      <c r="I7" s="117"/>
      <c r="J7" s="118"/>
    </row>
    <row r="8" spans="1:26" ht="15" customHeight="1" x14ac:dyDescent="0.25">
      <c r="A8" s="129" t="s">
        <v>10</v>
      </c>
      <c r="B8" s="111"/>
      <c r="C8" s="130" t="s">
        <v>11</v>
      </c>
      <c r="D8" s="111"/>
      <c r="E8" s="4"/>
      <c r="F8" s="38" t="s">
        <v>12</v>
      </c>
      <c r="G8" s="6" t="s">
        <v>13</v>
      </c>
      <c r="H8" s="6" t="s">
        <v>14</v>
      </c>
      <c r="I8" s="119"/>
      <c r="J8" s="120"/>
    </row>
    <row r="9" spans="1:26" ht="30" customHeight="1" x14ac:dyDescent="0.25">
      <c r="A9" s="131" t="s">
        <v>15</v>
      </c>
      <c r="B9" s="111"/>
      <c r="C9" s="130" t="s">
        <v>16</v>
      </c>
      <c r="D9" s="111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9" t="s">
        <v>20</v>
      </c>
      <c r="B10" s="111"/>
      <c r="C10" s="130" t="s">
        <v>21</v>
      </c>
      <c r="D10" s="111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1" t="s">
        <v>25</v>
      </c>
      <c r="B11" s="111"/>
      <c r="C11" s="134" t="s">
        <v>26</v>
      </c>
      <c r="D11" s="111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9" t="s">
        <v>30</v>
      </c>
      <c r="B12" s="111"/>
      <c r="C12" s="130" t="s">
        <v>31</v>
      </c>
      <c r="D12" s="111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9" t="s">
        <v>35</v>
      </c>
      <c r="B13" s="111"/>
      <c r="C13" s="130" t="s">
        <v>36</v>
      </c>
      <c r="D13" s="111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9" t="s">
        <v>40</v>
      </c>
      <c r="B14" s="111"/>
      <c r="C14" s="130" t="s">
        <v>41</v>
      </c>
      <c r="D14" s="111"/>
      <c r="E14" s="7"/>
      <c r="F14" s="132" t="s">
        <v>42</v>
      </c>
      <c r="G14" s="111"/>
      <c r="H14" s="111"/>
      <c r="I14" s="133" t="s">
        <v>43</v>
      </c>
      <c r="J14" s="120"/>
    </row>
    <row r="15" spans="1:26" ht="15" customHeight="1" x14ac:dyDescent="0.25">
      <c r="A15" s="129" t="s">
        <v>44</v>
      </c>
      <c r="B15" s="111"/>
      <c r="C15" s="130" t="s">
        <v>45</v>
      </c>
      <c r="D15" s="111"/>
      <c r="E15" s="7"/>
      <c r="F15" s="43" t="s">
        <v>74</v>
      </c>
      <c r="G15" s="136" t="str">
        <f>FormSampel!B14</f>
        <v>HC 16350373 - 2</v>
      </c>
      <c r="H15" s="136"/>
      <c r="I15" s="91">
        <f>FormSampel!C14</f>
        <v>45808</v>
      </c>
      <c r="J15" s="92"/>
    </row>
    <row r="16" spans="1:26" ht="15" customHeight="1" x14ac:dyDescent="0.25">
      <c r="A16" s="129" t="s">
        <v>46</v>
      </c>
      <c r="B16" s="111"/>
      <c r="C16" s="135" t="s">
        <v>47</v>
      </c>
      <c r="D16" s="111"/>
      <c r="E16" s="111"/>
      <c r="F16" s="44" t="s">
        <v>75</v>
      </c>
      <c r="G16" s="99" t="str">
        <f>FormSampel!B15</f>
        <v>HC 15161426 - 2</v>
      </c>
      <c r="H16" s="99"/>
      <c r="I16" s="91">
        <f>FormSampel!C15</f>
        <v>45716</v>
      </c>
      <c r="J16" s="9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99" t="str">
        <f>FormSampel!B16</f>
        <v>HC 14813176 - 2</v>
      </c>
      <c r="H17" s="99"/>
      <c r="I17" s="91">
        <f>FormSampel!C16</f>
        <v>45688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8" t="str">
        <f>FormSampel!B17</f>
        <v>HC 28942277 - 2</v>
      </c>
      <c r="H18" s="98"/>
      <c r="I18" s="93">
        <f>FormSampel!C17</f>
        <v>46142</v>
      </c>
      <c r="J18" s="94"/>
    </row>
    <row r="19" spans="1:26" x14ac:dyDescent="0.25">
      <c r="A19" s="95" t="s">
        <v>48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49</v>
      </c>
      <c r="B20" s="101"/>
      <c r="C20" s="29">
        <f>FormSampel!G6</f>
        <v>1515.479</v>
      </c>
      <c r="D20" s="30" t="s">
        <v>50</v>
      </c>
      <c r="E20" s="31">
        <v>1000</v>
      </c>
      <c r="F20" s="102" t="s">
        <v>51</v>
      </c>
      <c r="G20" s="101"/>
      <c r="H20" s="103">
        <f>IF(AND(C21&lt;0.15),"&lt;0.15",C21)</f>
        <v>1.515479</v>
      </c>
      <c r="I20" s="104"/>
      <c r="J20" s="32" t="s">
        <v>52</v>
      </c>
    </row>
    <row r="21" spans="1:26" ht="15.75" customHeight="1" x14ac:dyDescent="0.25">
      <c r="A21" s="33" t="s">
        <v>53</v>
      </c>
      <c r="B21" s="34"/>
      <c r="C21" s="105">
        <f>C20/1000</f>
        <v>1.515479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56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49</v>
      </c>
      <c r="B23" s="101"/>
      <c r="C23" s="29">
        <f>FormSampel!H6</f>
        <v>117.711</v>
      </c>
      <c r="D23" s="30" t="s">
        <v>50</v>
      </c>
      <c r="E23" s="36">
        <v>1000</v>
      </c>
      <c r="F23" s="102" t="s">
        <v>51</v>
      </c>
      <c r="G23" s="101"/>
      <c r="H23" s="103" t="str">
        <f>IF(C24&lt;0.15,"&lt;0.15",C24)</f>
        <v>&lt;0.15</v>
      </c>
      <c r="I23" s="104"/>
      <c r="J23" s="32" t="s">
        <v>52</v>
      </c>
    </row>
    <row r="24" spans="1:26" ht="15.75" customHeight="1" x14ac:dyDescent="0.25">
      <c r="A24" s="33" t="s">
        <v>53</v>
      </c>
      <c r="B24" s="34"/>
      <c r="C24" s="105">
        <f>C23/1000</f>
        <v>0.117711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54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49</v>
      </c>
      <c r="B26" s="111"/>
      <c r="C26" s="29">
        <f>FormSampel!I6</f>
        <v>163.624</v>
      </c>
      <c r="D26" s="30" t="s">
        <v>50</v>
      </c>
      <c r="E26" s="36">
        <v>1000</v>
      </c>
      <c r="F26" s="112" t="s">
        <v>51</v>
      </c>
      <c r="G26" s="101"/>
      <c r="H26" s="103">
        <f>IF(AND(C27&lt;0.15),"&lt;0.15",C27)</f>
        <v>0.16362399999999999</v>
      </c>
      <c r="I26" s="104"/>
      <c r="J26" s="37" t="s">
        <v>52</v>
      </c>
    </row>
    <row r="27" spans="1:26" ht="15.75" customHeight="1" x14ac:dyDescent="0.25">
      <c r="A27" s="33" t="s">
        <v>53</v>
      </c>
      <c r="B27" s="34"/>
      <c r="C27" s="113">
        <f>C26/1000</f>
        <v>0.16362399999999999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55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49</v>
      </c>
      <c r="B29" s="111"/>
      <c r="C29" s="29">
        <f>FormSampel!J6</f>
        <v>3460.8490000000002</v>
      </c>
      <c r="D29" s="30" t="s">
        <v>50</v>
      </c>
      <c r="E29" s="36">
        <v>1000</v>
      </c>
      <c r="F29" s="115" t="s">
        <v>51</v>
      </c>
      <c r="G29" s="111"/>
      <c r="H29" s="103">
        <f>IF(AND(C30&lt;0.15),"&lt;0.15",C30)</f>
        <v>3.4608490000000001</v>
      </c>
      <c r="I29" s="104"/>
      <c r="J29" s="32" t="s">
        <v>52</v>
      </c>
    </row>
    <row r="30" spans="1:26" ht="15.75" customHeight="1" x14ac:dyDescent="0.25">
      <c r="A30" s="33" t="s">
        <v>53</v>
      </c>
      <c r="B30" s="34"/>
      <c r="C30" s="105">
        <f>C29/1000</f>
        <v>3.4608490000000001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57</v>
      </c>
      <c r="B31" s="11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59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60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61</v>
      </c>
      <c r="B38" s="117"/>
      <c r="C38" s="117"/>
      <c r="D38" s="117"/>
      <c r="E38" s="118"/>
      <c r="F38" s="137" t="str">
        <f>FormSampel!B19</f>
        <v>PERMIT   AMIR   NASOHA</v>
      </c>
      <c r="G38" s="138"/>
      <c r="H38" s="141">
        <f>FormSampel!B20</f>
        <v>45570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62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view="pageLayout" topLeftCell="A16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FormSampel!F7</f>
        <v>0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 t="str">
        <f>FormSampel!B2</f>
        <v>051124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4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5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6</v>
      </c>
      <c r="B7" s="117"/>
      <c r="C7" s="128" t="s">
        <v>7</v>
      </c>
      <c r="D7" s="117"/>
      <c r="E7" s="117"/>
      <c r="F7" s="42" t="s">
        <v>8</v>
      </c>
      <c r="G7" s="116" t="s">
        <v>9</v>
      </c>
      <c r="H7" s="117"/>
      <c r="I7" s="117"/>
      <c r="J7" s="118"/>
    </row>
    <row r="8" spans="1:26" ht="15" customHeight="1" x14ac:dyDescent="0.25">
      <c r="A8" s="129" t="s">
        <v>10</v>
      </c>
      <c r="B8" s="111"/>
      <c r="C8" s="130" t="s">
        <v>11</v>
      </c>
      <c r="D8" s="111"/>
      <c r="E8" s="4"/>
      <c r="F8" s="38" t="s">
        <v>12</v>
      </c>
      <c r="G8" s="6" t="s">
        <v>13</v>
      </c>
      <c r="H8" s="6" t="s">
        <v>14</v>
      </c>
      <c r="I8" s="119"/>
      <c r="J8" s="120"/>
    </row>
    <row r="9" spans="1:26" ht="30" customHeight="1" x14ac:dyDescent="0.25">
      <c r="A9" s="131" t="s">
        <v>15</v>
      </c>
      <c r="B9" s="111"/>
      <c r="C9" s="130" t="s">
        <v>16</v>
      </c>
      <c r="D9" s="111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9" t="s">
        <v>20</v>
      </c>
      <c r="B10" s="111"/>
      <c r="C10" s="130" t="s">
        <v>21</v>
      </c>
      <c r="D10" s="111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1" t="s">
        <v>25</v>
      </c>
      <c r="B11" s="111"/>
      <c r="C11" s="134" t="s">
        <v>26</v>
      </c>
      <c r="D11" s="111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9" t="s">
        <v>30</v>
      </c>
      <c r="B12" s="111"/>
      <c r="C12" s="130" t="s">
        <v>31</v>
      </c>
      <c r="D12" s="111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9" t="s">
        <v>35</v>
      </c>
      <c r="B13" s="111"/>
      <c r="C13" s="130" t="s">
        <v>36</v>
      </c>
      <c r="D13" s="111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9" t="s">
        <v>40</v>
      </c>
      <c r="B14" s="111"/>
      <c r="C14" s="130" t="s">
        <v>41</v>
      </c>
      <c r="D14" s="111"/>
      <c r="E14" s="7"/>
      <c r="F14" s="132" t="s">
        <v>42</v>
      </c>
      <c r="G14" s="111"/>
      <c r="H14" s="111"/>
      <c r="I14" s="133" t="s">
        <v>43</v>
      </c>
      <c r="J14" s="120"/>
    </row>
    <row r="15" spans="1:26" ht="15" customHeight="1" x14ac:dyDescent="0.25">
      <c r="A15" s="129" t="s">
        <v>44</v>
      </c>
      <c r="B15" s="111"/>
      <c r="C15" s="130" t="s">
        <v>45</v>
      </c>
      <c r="D15" s="111"/>
      <c r="E15" s="7"/>
      <c r="F15" s="43" t="s">
        <v>74</v>
      </c>
      <c r="G15" s="136" t="str">
        <f>FormSampel!B14</f>
        <v>HC 16350373 - 2</v>
      </c>
      <c r="H15" s="136"/>
      <c r="I15" s="91">
        <f>FormSampel!C14</f>
        <v>45808</v>
      </c>
      <c r="J15" s="92"/>
    </row>
    <row r="16" spans="1:26" ht="15" customHeight="1" x14ac:dyDescent="0.25">
      <c r="A16" s="129" t="s">
        <v>46</v>
      </c>
      <c r="B16" s="111"/>
      <c r="C16" s="135" t="s">
        <v>47</v>
      </c>
      <c r="D16" s="111"/>
      <c r="E16" s="111"/>
      <c r="F16" s="44" t="s">
        <v>75</v>
      </c>
      <c r="G16" s="99" t="str">
        <f>FormSampel!B15</f>
        <v>HC 15161426 - 2</v>
      </c>
      <c r="H16" s="99"/>
      <c r="I16" s="91">
        <f>FormSampel!C15</f>
        <v>45716</v>
      </c>
      <c r="J16" s="9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99" t="str">
        <f>FormSampel!B16</f>
        <v>HC 14813176 - 2</v>
      </c>
      <c r="H17" s="99"/>
      <c r="I17" s="91">
        <f>FormSampel!C16</f>
        <v>45688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8" t="str">
        <f>FormSampel!B17</f>
        <v>HC 28942277 - 2</v>
      </c>
      <c r="H18" s="98"/>
      <c r="I18" s="93">
        <f>FormSampel!C17</f>
        <v>46142</v>
      </c>
      <c r="J18" s="94"/>
    </row>
    <row r="19" spans="1:26" x14ac:dyDescent="0.25">
      <c r="A19" s="95" t="s">
        <v>48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49</v>
      </c>
      <c r="B20" s="101"/>
      <c r="C20" s="29">
        <f>FormSampel!G7</f>
        <v>0</v>
      </c>
      <c r="D20" s="30" t="s">
        <v>50</v>
      </c>
      <c r="E20" s="31">
        <v>1000</v>
      </c>
      <c r="F20" s="102" t="s">
        <v>51</v>
      </c>
      <c r="G20" s="101"/>
      <c r="H20" s="103" t="str">
        <f>IF(AND(C21&lt;0.15),"&lt;0.15",C21)</f>
        <v>&lt;0.15</v>
      </c>
      <c r="I20" s="104"/>
      <c r="J20" s="32" t="s">
        <v>52</v>
      </c>
    </row>
    <row r="21" spans="1:26" ht="15.75" customHeight="1" x14ac:dyDescent="0.25">
      <c r="A21" s="33" t="s">
        <v>53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56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49</v>
      </c>
      <c r="B23" s="101"/>
      <c r="C23" s="29">
        <f>FormSampel!H7</f>
        <v>0</v>
      </c>
      <c r="D23" s="30" t="s">
        <v>50</v>
      </c>
      <c r="E23" s="36">
        <v>1000</v>
      </c>
      <c r="F23" s="102" t="s">
        <v>51</v>
      </c>
      <c r="G23" s="101"/>
      <c r="H23" s="103" t="str">
        <f>IF(C24&lt;0.15,"&lt;0.15",C24)</f>
        <v>&lt;0.15</v>
      </c>
      <c r="I23" s="104"/>
      <c r="J23" s="32" t="s">
        <v>52</v>
      </c>
    </row>
    <row r="24" spans="1:26" ht="15.75" customHeight="1" x14ac:dyDescent="0.25">
      <c r="A24" s="33" t="s">
        <v>53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54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49</v>
      </c>
      <c r="B26" s="111"/>
      <c r="C26" s="29">
        <f>FormSampel!I7</f>
        <v>0</v>
      </c>
      <c r="D26" s="30" t="s">
        <v>50</v>
      </c>
      <c r="E26" s="36">
        <v>1000</v>
      </c>
      <c r="F26" s="112" t="s">
        <v>51</v>
      </c>
      <c r="G26" s="101"/>
      <c r="H26" s="103" t="str">
        <f>IF(AND(C27&lt;0.15),"&lt;0.15",C27)</f>
        <v>&lt;0.15</v>
      </c>
      <c r="I26" s="104"/>
      <c r="J26" s="37" t="s">
        <v>52</v>
      </c>
    </row>
    <row r="27" spans="1:26" ht="15.75" customHeight="1" x14ac:dyDescent="0.25">
      <c r="A27" s="33" t="s">
        <v>53</v>
      </c>
      <c r="B27" s="34"/>
      <c r="C27" s="113">
        <f>C26/1000</f>
        <v>0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55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49</v>
      </c>
      <c r="B29" s="111"/>
      <c r="C29" s="29">
        <f>FormSampel!J7</f>
        <v>0</v>
      </c>
      <c r="D29" s="30" t="s">
        <v>50</v>
      </c>
      <c r="E29" s="36">
        <v>1000</v>
      </c>
      <c r="F29" s="115" t="s">
        <v>51</v>
      </c>
      <c r="G29" s="111"/>
      <c r="H29" s="103" t="str">
        <f>IF(AND(C30&lt;0.15),"&lt;0.15",C30)</f>
        <v>&lt;0.15</v>
      </c>
      <c r="I29" s="104"/>
      <c r="J29" s="32" t="s">
        <v>52</v>
      </c>
    </row>
    <row r="30" spans="1:26" ht="15.75" customHeight="1" x14ac:dyDescent="0.25">
      <c r="A30" s="33" t="s">
        <v>53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57</v>
      </c>
      <c r="B31" s="11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59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60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61</v>
      </c>
      <c r="B38" s="117"/>
      <c r="C38" s="117"/>
      <c r="D38" s="117"/>
      <c r="E38" s="118"/>
      <c r="F38" s="137" t="str">
        <f>FormSampel!B19</f>
        <v>PERMIT   AMIR   NASOHA</v>
      </c>
      <c r="G38" s="138"/>
      <c r="H38" s="141">
        <f>FormSampel!B20</f>
        <v>45570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62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topLeftCell="A16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FormSampel!F8</f>
        <v>0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 t="str">
        <f>FormSampel!B2</f>
        <v>051124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4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5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6</v>
      </c>
      <c r="B7" s="117"/>
      <c r="C7" s="128" t="s">
        <v>7</v>
      </c>
      <c r="D7" s="117"/>
      <c r="E7" s="117"/>
      <c r="F7" s="42" t="s">
        <v>8</v>
      </c>
      <c r="G7" s="116" t="s">
        <v>9</v>
      </c>
      <c r="H7" s="117"/>
      <c r="I7" s="117"/>
      <c r="J7" s="118"/>
    </row>
    <row r="8" spans="1:26" ht="15" customHeight="1" x14ac:dyDescent="0.25">
      <c r="A8" s="129" t="s">
        <v>10</v>
      </c>
      <c r="B8" s="111"/>
      <c r="C8" s="130" t="s">
        <v>11</v>
      </c>
      <c r="D8" s="111"/>
      <c r="E8" s="4"/>
      <c r="F8" s="38" t="s">
        <v>12</v>
      </c>
      <c r="G8" s="6" t="s">
        <v>13</v>
      </c>
      <c r="H8" s="6" t="s">
        <v>14</v>
      </c>
      <c r="I8" s="119"/>
      <c r="J8" s="120"/>
    </row>
    <row r="9" spans="1:26" ht="30" customHeight="1" x14ac:dyDescent="0.25">
      <c r="A9" s="131" t="s">
        <v>15</v>
      </c>
      <c r="B9" s="111"/>
      <c r="C9" s="130" t="s">
        <v>16</v>
      </c>
      <c r="D9" s="111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9" t="s">
        <v>20</v>
      </c>
      <c r="B10" s="111"/>
      <c r="C10" s="130" t="s">
        <v>21</v>
      </c>
      <c r="D10" s="111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1" t="s">
        <v>25</v>
      </c>
      <c r="B11" s="111"/>
      <c r="C11" s="134" t="s">
        <v>26</v>
      </c>
      <c r="D11" s="111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9" t="s">
        <v>30</v>
      </c>
      <c r="B12" s="111"/>
      <c r="C12" s="130" t="s">
        <v>31</v>
      </c>
      <c r="D12" s="111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9" t="s">
        <v>35</v>
      </c>
      <c r="B13" s="111"/>
      <c r="C13" s="130" t="s">
        <v>36</v>
      </c>
      <c r="D13" s="111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9" t="s">
        <v>40</v>
      </c>
      <c r="B14" s="111"/>
      <c r="C14" s="130" t="s">
        <v>41</v>
      </c>
      <c r="D14" s="111"/>
      <c r="E14" s="7"/>
      <c r="F14" s="132" t="s">
        <v>42</v>
      </c>
      <c r="G14" s="111"/>
      <c r="H14" s="111"/>
      <c r="I14" s="133" t="s">
        <v>43</v>
      </c>
      <c r="J14" s="120"/>
    </row>
    <row r="15" spans="1:26" ht="15" customHeight="1" x14ac:dyDescent="0.25">
      <c r="A15" s="129" t="s">
        <v>44</v>
      </c>
      <c r="B15" s="111"/>
      <c r="C15" s="130" t="s">
        <v>45</v>
      </c>
      <c r="D15" s="111"/>
      <c r="E15" s="7"/>
      <c r="F15" s="43" t="s">
        <v>74</v>
      </c>
      <c r="G15" s="136" t="str">
        <f>FormSampel!B14</f>
        <v>HC 16350373 - 2</v>
      </c>
      <c r="H15" s="136"/>
      <c r="I15" s="91">
        <f>FormSampel!C14</f>
        <v>45808</v>
      </c>
      <c r="J15" s="92"/>
    </row>
    <row r="16" spans="1:26" ht="15" customHeight="1" x14ac:dyDescent="0.25">
      <c r="A16" s="129" t="s">
        <v>46</v>
      </c>
      <c r="B16" s="111"/>
      <c r="C16" s="135" t="s">
        <v>47</v>
      </c>
      <c r="D16" s="111"/>
      <c r="E16" s="111"/>
      <c r="F16" s="44" t="s">
        <v>75</v>
      </c>
      <c r="G16" s="99" t="str">
        <f>FormSampel!B15</f>
        <v>HC 15161426 - 2</v>
      </c>
      <c r="H16" s="99"/>
      <c r="I16" s="91">
        <f>FormSampel!C15</f>
        <v>45716</v>
      </c>
      <c r="J16" s="9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99" t="str">
        <f>FormSampel!B16</f>
        <v>HC 14813176 - 2</v>
      </c>
      <c r="H17" s="99"/>
      <c r="I17" s="91">
        <f>FormSampel!C16</f>
        <v>45688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8" t="str">
        <f>FormSampel!B17</f>
        <v>HC 28942277 - 2</v>
      </c>
      <c r="H18" s="98"/>
      <c r="I18" s="93">
        <f>FormSampel!C17</f>
        <v>46142</v>
      </c>
      <c r="J18" s="94"/>
    </row>
    <row r="19" spans="1:26" x14ac:dyDescent="0.25">
      <c r="A19" s="95" t="s">
        <v>48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49</v>
      </c>
      <c r="B20" s="101"/>
      <c r="C20" s="29">
        <f>FormSampel!G8</f>
        <v>0</v>
      </c>
      <c r="D20" s="30" t="s">
        <v>50</v>
      </c>
      <c r="E20" s="31">
        <v>1000</v>
      </c>
      <c r="F20" s="102" t="s">
        <v>51</v>
      </c>
      <c r="G20" s="101"/>
      <c r="H20" s="103" t="str">
        <f>IF(AND(C21&lt;0.15),"&lt;0.15",C21)</f>
        <v>&lt;0.15</v>
      </c>
      <c r="I20" s="104"/>
      <c r="J20" s="32" t="s">
        <v>52</v>
      </c>
    </row>
    <row r="21" spans="1:26" ht="15.75" customHeight="1" x14ac:dyDescent="0.25">
      <c r="A21" s="33" t="s">
        <v>53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56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49</v>
      </c>
      <c r="B23" s="101"/>
      <c r="C23" s="29">
        <f>FormSampel!H8</f>
        <v>0</v>
      </c>
      <c r="D23" s="30" t="s">
        <v>50</v>
      </c>
      <c r="E23" s="36">
        <v>1000</v>
      </c>
      <c r="F23" s="102" t="s">
        <v>51</v>
      </c>
      <c r="G23" s="101"/>
      <c r="H23" s="103" t="str">
        <f>IF(C24&lt;0.15,"&lt;0.15",C24)</f>
        <v>&lt;0.15</v>
      </c>
      <c r="I23" s="104"/>
      <c r="J23" s="32" t="s">
        <v>52</v>
      </c>
    </row>
    <row r="24" spans="1:26" ht="15.75" customHeight="1" x14ac:dyDescent="0.25">
      <c r="A24" s="33" t="s">
        <v>53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54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49</v>
      </c>
      <c r="B26" s="111"/>
      <c r="C26" s="29">
        <f>FormSampel!I8</f>
        <v>0</v>
      </c>
      <c r="D26" s="30" t="s">
        <v>50</v>
      </c>
      <c r="E26" s="36">
        <v>1000</v>
      </c>
      <c r="F26" s="112" t="s">
        <v>51</v>
      </c>
      <c r="G26" s="101"/>
      <c r="H26" s="103" t="str">
        <f>IF(AND(C27&lt;0.15),"&lt;0.15",C27)</f>
        <v>&lt;0.15</v>
      </c>
      <c r="I26" s="104"/>
      <c r="J26" s="37" t="s">
        <v>52</v>
      </c>
    </row>
    <row r="27" spans="1:26" ht="15.75" customHeight="1" x14ac:dyDescent="0.25">
      <c r="A27" s="33" t="s">
        <v>53</v>
      </c>
      <c r="B27" s="34"/>
      <c r="C27" s="113">
        <f>C26/1000</f>
        <v>0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55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49</v>
      </c>
      <c r="B29" s="111"/>
      <c r="C29" s="29">
        <f>FormSampel!J8</f>
        <v>0</v>
      </c>
      <c r="D29" s="30" t="s">
        <v>50</v>
      </c>
      <c r="E29" s="36">
        <v>1000</v>
      </c>
      <c r="F29" s="115" t="s">
        <v>51</v>
      </c>
      <c r="G29" s="111"/>
      <c r="H29" s="103" t="str">
        <f>IF(AND(C30&lt;0.15),"&lt;0.15",C30)</f>
        <v>&lt;0.15</v>
      </c>
      <c r="I29" s="104"/>
      <c r="J29" s="32" t="s">
        <v>52</v>
      </c>
    </row>
    <row r="30" spans="1:26" ht="15.75" customHeight="1" x14ac:dyDescent="0.25">
      <c r="A30" s="33" t="s">
        <v>53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57</v>
      </c>
      <c r="B31" s="11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59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60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61</v>
      </c>
      <c r="B38" s="117"/>
      <c r="C38" s="117"/>
      <c r="D38" s="117"/>
      <c r="E38" s="118"/>
      <c r="F38" s="137" t="str">
        <f>FormSampel!B19</f>
        <v>PERMIT   AMIR   NASOHA</v>
      </c>
      <c r="G38" s="138"/>
      <c r="H38" s="141">
        <f>FormSampel!B20</f>
        <v>45570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62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topLeftCell="A19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FormSampel!F9</f>
        <v>0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 t="str">
        <f>FormSampel!B2</f>
        <v>051124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4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5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6</v>
      </c>
      <c r="B7" s="117"/>
      <c r="C7" s="128" t="s">
        <v>7</v>
      </c>
      <c r="D7" s="117"/>
      <c r="E7" s="117"/>
      <c r="F7" s="42" t="s">
        <v>8</v>
      </c>
      <c r="G7" s="116" t="s">
        <v>9</v>
      </c>
      <c r="H7" s="117"/>
      <c r="I7" s="117"/>
      <c r="J7" s="118"/>
    </row>
    <row r="8" spans="1:26" ht="15" customHeight="1" x14ac:dyDescent="0.25">
      <c r="A8" s="129" t="s">
        <v>10</v>
      </c>
      <c r="B8" s="111"/>
      <c r="C8" s="130" t="s">
        <v>11</v>
      </c>
      <c r="D8" s="111"/>
      <c r="E8" s="4"/>
      <c r="F8" s="38" t="s">
        <v>12</v>
      </c>
      <c r="G8" s="6" t="s">
        <v>13</v>
      </c>
      <c r="H8" s="6" t="s">
        <v>14</v>
      </c>
      <c r="I8" s="119"/>
      <c r="J8" s="120"/>
    </row>
    <row r="9" spans="1:26" ht="30" customHeight="1" x14ac:dyDescent="0.25">
      <c r="A9" s="131" t="s">
        <v>15</v>
      </c>
      <c r="B9" s="111"/>
      <c r="C9" s="130" t="s">
        <v>16</v>
      </c>
      <c r="D9" s="111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9" t="s">
        <v>20</v>
      </c>
      <c r="B10" s="111"/>
      <c r="C10" s="130" t="s">
        <v>21</v>
      </c>
      <c r="D10" s="111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1" t="s">
        <v>25</v>
      </c>
      <c r="B11" s="111"/>
      <c r="C11" s="134" t="s">
        <v>26</v>
      </c>
      <c r="D11" s="111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9" t="s">
        <v>30</v>
      </c>
      <c r="B12" s="111"/>
      <c r="C12" s="130" t="s">
        <v>31</v>
      </c>
      <c r="D12" s="111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9" t="s">
        <v>35</v>
      </c>
      <c r="B13" s="111"/>
      <c r="C13" s="130" t="s">
        <v>36</v>
      </c>
      <c r="D13" s="111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9" t="s">
        <v>40</v>
      </c>
      <c r="B14" s="111"/>
      <c r="C14" s="130" t="s">
        <v>41</v>
      </c>
      <c r="D14" s="111"/>
      <c r="E14" s="7"/>
      <c r="F14" s="132" t="s">
        <v>42</v>
      </c>
      <c r="G14" s="111"/>
      <c r="H14" s="111"/>
      <c r="I14" s="133" t="s">
        <v>43</v>
      </c>
      <c r="J14" s="120"/>
    </row>
    <row r="15" spans="1:26" ht="15" customHeight="1" x14ac:dyDescent="0.25">
      <c r="A15" s="129" t="s">
        <v>44</v>
      </c>
      <c r="B15" s="111"/>
      <c r="C15" s="130" t="s">
        <v>45</v>
      </c>
      <c r="D15" s="111"/>
      <c r="E15" s="7"/>
      <c r="F15" s="43" t="s">
        <v>74</v>
      </c>
      <c r="G15" s="136" t="str">
        <f>FormSampel!B14</f>
        <v>HC 16350373 - 2</v>
      </c>
      <c r="H15" s="136"/>
      <c r="I15" s="91">
        <f>FormSampel!C14</f>
        <v>45808</v>
      </c>
      <c r="J15" s="92"/>
    </row>
    <row r="16" spans="1:26" ht="15" customHeight="1" x14ac:dyDescent="0.25">
      <c r="A16" s="129" t="s">
        <v>46</v>
      </c>
      <c r="B16" s="111"/>
      <c r="C16" s="135" t="s">
        <v>47</v>
      </c>
      <c r="D16" s="111"/>
      <c r="E16" s="111"/>
      <c r="F16" s="44" t="s">
        <v>75</v>
      </c>
      <c r="G16" s="99" t="str">
        <f>FormSampel!B15</f>
        <v>HC 15161426 - 2</v>
      </c>
      <c r="H16" s="99"/>
      <c r="I16" s="91">
        <f>FormSampel!C15</f>
        <v>45716</v>
      </c>
      <c r="J16" s="9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99" t="str">
        <f>FormSampel!B16</f>
        <v>HC 14813176 - 2</v>
      </c>
      <c r="H17" s="99"/>
      <c r="I17" s="91">
        <f>FormSampel!C16</f>
        <v>45688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8" t="str">
        <f>FormSampel!B17</f>
        <v>HC 28942277 - 2</v>
      </c>
      <c r="H18" s="98"/>
      <c r="I18" s="93">
        <f>FormSampel!C17</f>
        <v>46142</v>
      </c>
      <c r="J18" s="94"/>
    </row>
    <row r="19" spans="1:26" x14ac:dyDescent="0.25">
      <c r="A19" s="95" t="s">
        <v>48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49</v>
      </c>
      <c r="B20" s="101"/>
      <c r="C20" s="29">
        <f>FormSampel!G9</f>
        <v>0</v>
      </c>
      <c r="D20" s="30" t="s">
        <v>50</v>
      </c>
      <c r="E20" s="31">
        <v>1000</v>
      </c>
      <c r="F20" s="102" t="s">
        <v>51</v>
      </c>
      <c r="G20" s="101"/>
      <c r="H20" s="103" t="str">
        <f>IF(AND(C21&lt;0.15),"&lt;0.15",C21)</f>
        <v>&lt;0.15</v>
      </c>
      <c r="I20" s="104"/>
      <c r="J20" s="32" t="s">
        <v>52</v>
      </c>
    </row>
    <row r="21" spans="1:26" ht="15.75" customHeight="1" x14ac:dyDescent="0.25">
      <c r="A21" s="33" t="s">
        <v>53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56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49</v>
      </c>
      <c r="B23" s="101"/>
      <c r="C23" s="29">
        <f>FormSampel!H9</f>
        <v>0</v>
      </c>
      <c r="D23" s="30" t="s">
        <v>50</v>
      </c>
      <c r="E23" s="36">
        <v>1000</v>
      </c>
      <c r="F23" s="102" t="s">
        <v>51</v>
      </c>
      <c r="G23" s="101"/>
      <c r="H23" s="103" t="str">
        <f>IF(C24&lt;0.15,"&lt;0.15",C24)</f>
        <v>&lt;0.15</v>
      </c>
      <c r="I23" s="104"/>
      <c r="J23" s="32" t="s">
        <v>52</v>
      </c>
    </row>
    <row r="24" spans="1:26" ht="15.75" customHeight="1" x14ac:dyDescent="0.25">
      <c r="A24" s="33" t="s">
        <v>53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54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49</v>
      </c>
      <c r="B26" s="111"/>
      <c r="C26" s="29">
        <f>FormSampel!I9</f>
        <v>0</v>
      </c>
      <c r="D26" s="30" t="s">
        <v>50</v>
      </c>
      <c r="E26" s="36">
        <v>1000</v>
      </c>
      <c r="F26" s="112" t="s">
        <v>51</v>
      </c>
      <c r="G26" s="101"/>
      <c r="H26" s="103" t="str">
        <f>IF(AND(C27&lt;0.15),"&lt;0.15",C27)</f>
        <v>&lt;0.15</v>
      </c>
      <c r="I26" s="104"/>
      <c r="J26" s="37" t="s">
        <v>52</v>
      </c>
    </row>
    <row r="27" spans="1:26" ht="15.75" customHeight="1" x14ac:dyDescent="0.25">
      <c r="A27" s="33" t="s">
        <v>53</v>
      </c>
      <c r="B27" s="34"/>
      <c r="C27" s="113">
        <f>C26/1000</f>
        <v>0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55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49</v>
      </c>
      <c r="B29" s="111"/>
      <c r="C29" s="29">
        <f>FormSampel!J9</f>
        <v>0</v>
      </c>
      <c r="D29" s="30" t="s">
        <v>50</v>
      </c>
      <c r="E29" s="36">
        <v>1000</v>
      </c>
      <c r="F29" s="115" t="s">
        <v>51</v>
      </c>
      <c r="G29" s="111"/>
      <c r="H29" s="103" t="str">
        <f>IF(AND(C30&lt;0.15),"&lt;0.15",C30)</f>
        <v>&lt;0.15</v>
      </c>
      <c r="I29" s="104"/>
      <c r="J29" s="32" t="s">
        <v>52</v>
      </c>
    </row>
    <row r="30" spans="1:26" ht="15.75" customHeight="1" x14ac:dyDescent="0.25">
      <c r="A30" s="33" t="s">
        <v>53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57</v>
      </c>
      <c r="B31" s="11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59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60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61</v>
      </c>
      <c r="B38" s="117"/>
      <c r="C38" s="117"/>
      <c r="D38" s="117"/>
      <c r="E38" s="118"/>
      <c r="F38" s="137" t="str">
        <f>FormSampel!B19</f>
        <v>PERMIT   AMIR   NASOHA</v>
      </c>
      <c r="G38" s="138"/>
      <c r="H38" s="141">
        <f>FormSampel!B20</f>
        <v>45570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62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topLeftCell="A19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FormSampel!F10</f>
        <v>0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 t="str">
        <f>FormSampel!B2</f>
        <v>051124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4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5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6</v>
      </c>
      <c r="B7" s="117"/>
      <c r="C7" s="128" t="s">
        <v>7</v>
      </c>
      <c r="D7" s="117"/>
      <c r="E7" s="117"/>
      <c r="F7" s="42" t="s">
        <v>8</v>
      </c>
      <c r="G7" s="116" t="s">
        <v>9</v>
      </c>
      <c r="H7" s="117"/>
      <c r="I7" s="117"/>
      <c r="J7" s="118"/>
    </row>
    <row r="8" spans="1:26" ht="15" customHeight="1" x14ac:dyDescent="0.25">
      <c r="A8" s="129" t="s">
        <v>10</v>
      </c>
      <c r="B8" s="111"/>
      <c r="C8" s="130" t="s">
        <v>11</v>
      </c>
      <c r="D8" s="111"/>
      <c r="E8" s="4"/>
      <c r="F8" s="38" t="s">
        <v>12</v>
      </c>
      <c r="G8" s="6" t="s">
        <v>13</v>
      </c>
      <c r="H8" s="6" t="s">
        <v>14</v>
      </c>
      <c r="I8" s="119"/>
      <c r="J8" s="120"/>
    </row>
    <row r="9" spans="1:26" ht="30" customHeight="1" x14ac:dyDescent="0.25">
      <c r="A9" s="131" t="s">
        <v>15</v>
      </c>
      <c r="B9" s="111"/>
      <c r="C9" s="130" t="s">
        <v>16</v>
      </c>
      <c r="D9" s="111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9" t="s">
        <v>20</v>
      </c>
      <c r="B10" s="111"/>
      <c r="C10" s="130" t="s">
        <v>21</v>
      </c>
      <c r="D10" s="111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1" t="s">
        <v>25</v>
      </c>
      <c r="B11" s="111"/>
      <c r="C11" s="134" t="s">
        <v>26</v>
      </c>
      <c r="D11" s="111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9" t="s">
        <v>30</v>
      </c>
      <c r="B12" s="111"/>
      <c r="C12" s="130" t="s">
        <v>31</v>
      </c>
      <c r="D12" s="111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9" t="s">
        <v>35</v>
      </c>
      <c r="B13" s="111"/>
      <c r="C13" s="130" t="s">
        <v>36</v>
      </c>
      <c r="D13" s="111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9" t="s">
        <v>40</v>
      </c>
      <c r="B14" s="111"/>
      <c r="C14" s="130" t="s">
        <v>41</v>
      </c>
      <c r="D14" s="111"/>
      <c r="E14" s="7"/>
      <c r="F14" s="132" t="s">
        <v>42</v>
      </c>
      <c r="G14" s="111"/>
      <c r="H14" s="111"/>
      <c r="I14" s="133" t="s">
        <v>43</v>
      </c>
      <c r="J14" s="120"/>
    </row>
    <row r="15" spans="1:26" ht="15" customHeight="1" x14ac:dyDescent="0.25">
      <c r="A15" s="129" t="s">
        <v>44</v>
      </c>
      <c r="B15" s="111"/>
      <c r="C15" s="130" t="s">
        <v>45</v>
      </c>
      <c r="D15" s="111"/>
      <c r="E15" s="7"/>
      <c r="F15" s="43" t="s">
        <v>74</v>
      </c>
      <c r="G15" s="136" t="str">
        <f>FormSampel!B14</f>
        <v>HC 16350373 - 2</v>
      </c>
      <c r="H15" s="136"/>
      <c r="I15" s="91">
        <f>FormSampel!C14</f>
        <v>45808</v>
      </c>
      <c r="J15" s="92"/>
    </row>
    <row r="16" spans="1:26" ht="15" customHeight="1" x14ac:dyDescent="0.25">
      <c r="A16" s="129" t="s">
        <v>46</v>
      </c>
      <c r="B16" s="111"/>
      <c r="C16" s="135" t="s">
        <v>47</v>
      </c>
      <c r="D16" s="111"/>
      <c r="E16" s="111"/>
      <c r="F16" s="44" t="s">
        <v>75</v>
      </c>
      <c r="G16" s="99" t="str">
        <f>FormSampel!B15</f>
        <v>HC 15161426 - 2</v>
      </c>
      <c r="H16" s="99"/>
      <c r="I16" s="91">
        <f>FormSampel!C15</f>
        <v>45716</v>
      </c>
      <c r="J16" s="9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99" t="str">
        <f>FormSampel!B16</f>
        <v>HC 14813176 - 2</v>
      </c>
      <c r="H17" s="99"/>
      <c r="I17" s="91">
        <f>FormSampel!C16</f>
        <v>45688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8" t="str">
        <f>FormSampel!B17</f>
        <v>HC 28942277 - 2</v>
      </c>
      <c r="H18" s="98"/>
      <c r="I18" s="93">
        <f>FormSampel!C17</f>
        <v>46142</v>
      </c>
      <c r="J18" s="94"/>
    </row>
    <row r="19" spans="1:26" x14ac:dyDescent="0.25">
      <c r="A19" s="95" t="s">
        <v>48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49</v>
      </c>
      <c r="B20" s="101"/>
      <c r="C20" s="29">
        <f>FormSampel!G10</f>
        <v>0</v>
      </c>
      <c r="D20" s="30" t="s">
        <v>50</v>
      </c>
      <c r="E20" s="31">
        <v>1000</v>
      </c>
      <c r="F20" s="102" t="s">
        <v>51</v>
      </c>
      <c r="G20" s="101"/>
      <c r="H20" s="103" t="str">
        <f>IF(AND(C21&lt;0.15),"&lt;0.15",C21)</f>
        <v>&lt;0.15</v>
      </c>
      <c r="I20" s="104"/>
      <c r="J20" s="32" t="s">
        <v>52</v>
      </c>
    </row>
    <row r="21" spans="1:26" ht="15.75" customHeight="1" x14ac:dyDescent="0.25">
      <c r="A21" s="33" t="s">
        <v>53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56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49</v>
      </c>
      <c r="B23" s="101"/>
      <c r="C23" s="29">
        <f>FormSampel!H10</f>
        <v>0</v>
      </c>
      <c r="D23" s="30" t="s">
        <v>50</v>
      </c>
      <c r="E23" s="36">
        <v>1000</v>
      </c>
      <c r="F23" s="102" t="s">
        <v>51</v>
      </c>
      <c r="G23" s="101"/>
      <c r="H23" s="103" t="str">
        <f>IF(C24&lt;0.15,"&lt;0.15",C24)</f>
        <v>&lt;0.15</v>
      </c>
      <c r="I23" s="104"/>
      <c r="J23" s="32" t="s">
        <v>52</v>
      </c>
    </row>
    <row r="24" spans="1:26" ht="15.75" customHeight="1" x14ac:dyDescent="0.25">
      <c r="A24" s="33" t="s">
        <v>53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54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49</v>
      </c>
      <c r="B26" s="111"/>
      <c r="C26" s="29">
        <f>FormSampel!I10</f>
        <v>0</v>
      </c>
      <c r="D26" s="30" t="s">
        <v>50</v>
      </c>
      <c r="E26" s="36">
        <v>1000</v>
      </c>
      <c r="F26" s="112" t="s">
        <v>51</v>
      </c>
      <c r="G26" s="101"/>
      <c r="H26" s="103" t="str">
        <f>IF(AND(C27&lt;0.15),"&lt;0.15",C27)</f>
        <v>&lt;0.15</v>
      </c>
      <c r="I26" s="104"/>
      <c r="J26" s="37" t="s">
        <v>52</v>
      </c>
    </row>
    <row r="27" spans="1:26" ht="15.75" customHeight="1" x14ac:dyDescent="0.25">
      <c r="A27" s="33" t="s">
        <v>53</v>
      </c>
      <c r="B27" s="34"/>
      <c r="C27" s="113">
        <f>C26/1000</f>
        <v>0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55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49</v>
      </c>
      <c r="B29" s="111"/>
      <c r="C29" s="29">
        <f>FormSampel!J10</f>
        <v>0</v>
      </c>
      <c r="D29" s="30" t="s">
        <v>50</v>
      </c>
      <c r="E29" s="36">
        <v>1000</v>
      </c>
      <c r="F29" s="115" t="s">
        <v>51</v>
      </c>
      <c r="G29" s="111"/>
      <c r="H29" s="103" t="str">
        <f>IF(AND(C30&lt;0.15),"&lt;0.15",C30)</f>
        <v>&lt;0.15</v>
      </c>
      <c r="I29" s="104"/>
      <c r="J29" s="32" t="s">
        <v>52</v>
      </c>
    </row>
    <row r="30" spans="1:26" ht="15.75" customHeight="1" x14ac:dyDescent="0.25">
      <c r="A30" s="33" t="s">
        <v>53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57</v>
      </c>
      <c r="B31" s="11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59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60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61</v>
      </c>
      <c r="B38" s="117"/>
      <c r="C38" s="117"/>
      <c r="D38" s="117"/>
      <c r="E38" s="118"/>
      <c r="F38" s="137" t="str">
        <f>FormSampel!B19</f>
        <v>PERMIT   AMIR   NASOHA</v>
      </c>
      <c r="G38" s="138"/>
      <c r="H38" s="141">
        <f>FormSampel!B20</f>
        <v>45570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62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topLeftCell="A12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FormSampel!F11</f>
        <v>0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 t="str">
        <f>FormSampel!B2</f>
        <v>051124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4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5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6</v>
      </c>
      <c r="B7" s="117"/>
      <c r="C7" s="128" t="s">
        <v>7</v>
      </c>
      <c r="D7" s="117"/>
      <c r="E7" s="117"/>
      <c r="F7" s="42" t="s">
        <v>8</v>
      </c>
      <c r="G7" s="116" t="s">
        <v>9</v>
      </c>
      <c r="H7" s="117"/>
      <c r="I7" s="117"/>
      <c r="J7" s="118"/>
    </row>
    <row r="8" spans="1:26" ht="15" customHeight="1" x14ac:dyDescent="0.25">
      <c r="A8" s="129" t="s">
        <v>10</v>
      </c>
      <c r="B8" s="111"/>
      <c r="C8" s="130" t="s">
        <v>11</v>
      </c>
      <c r="D8" s="111"/>
      <c r="E8" s="4"/>
      <c r="F8" s="38" t="s">
        <v>12</v>
      </c>
      <c r="G8" s="6" t="s">
        <v>13</v>
      </c>
      <c r="H8" s="6" t="s">
        <v>14</v>
      </c>
      <c r="I8" s="119"/>
      <c r="J8" s="120"/>
    </row>
    <row r="9" spans="1:26" ht="30" customHeight="1" x14ac:dyDescent="0.25">
      <c r="A9" s="131" t="s">
        <v>15</v>
      </c>
      <c r="B9" s="111"/>
      <c r="C9" s="130" t="s">
        <v>16</v>
      </c>
      <c r="D9" s="111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9" t="s">
        <v>20</v>
      </c>
      <c r="B10" s="111"/>
      <c r="C10" s="130" t="s">
        <v>21</v>
      </c>
      <c r="D10" s="111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1" t="s">
        <v>25</v>
      </c>
      <c r="B11" s="111"/>
      <c r="C11" s="134" t="s">
        <v>26</v>
      </c>
      <c r="D11" s="111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9" t="s">
        <v>30</v>
      </c>
      <c r="B12" s="111"/>
      <c r="C12" s="130" t="s">
        <v>31</v>
      </c>
      <c r="D12" s="111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9" t="s">
        <v>35</v>
      </c>
      <c r="B13" s="111"/>
      <c r="C13" s="130" t="s">
        <v>36</v>
      </c>
      <c r="D13" s="111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9" t="s">
        <v>40</v>
      </c>
      <c r="B14" s="111"/>
      <c r="C14" s="130" t="s">
        <v>41</v>
      </c>
      <c r="D14" s="111"/>
      <c r="E14" s="7"/>
      <c r="F14" s="132" t="s">
        <v>42</v>
      </c>
      <c r="G14" s="111"/>
      <c r="H14" s="111"/>
      <c r="I14" s="133" t="s">
        <v>43</v>
      </c>
      <c r="J14" s="120"/>
    </row>
    <row r="15" spans="1:26" ht="15" customHeight="1" x14ac:dyDescent="0.25">
      <c r="A15" s="129" t="s">
        <v>44</v>
      </c>
      <c r="B15" s="111"/>
      <c r="C15" s="130" t="s">
        <v>45</v>
      </c>
      <c r="D15" s="111"/>
      <c r="E15" s="7"/>
      <c r="F15" s="43" t="s">
        <v>74</v>
      </c>
      <c r="G15" s="136" t="str">
        <f>FormSampel!B14</f>
        <v>HC 16350373 - 2</v>
      </c>
      <c r="H15" s="136"/>
      <c r="I15" s="91">
        <f>FormSampel!C14</f>
        <v>45808</v>
      </c>
      <c r="J15" s="92"/>
    </row>
    <row r="16" spans="1:26" ht="15" customHeight="1" x14ac:dyDescent="0.25">
      <c r="A16" s="129" t="s">
        <v>46</v>
      </c>
      <c r="B16" s="111"/>
      <c r="C16" s="135" t="s">
        <v>47</v>
      </c>
      <c r="D16" s="111"/>
      <c r="E16" s="111"/>
      <c r="F16" s="44" t="s">
        <v>75</v>
      </c>
      <c r="G16" s="99" t="str">
        <f>FormSampel!B15</f>
        <v>HC 15161426 - 2</v>
      </c>
      <c r="H16" s="99"/>
      <c r="I16" s="91">
        <f>FormSampel!C15</f>
        <v>45716</v>
      </c>
      <c r="J16" s="9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99" t="str">
        <f>FormSampel!B16</f>
        <v>HC 14813176 - 2</v>
      </c>
      <c r="H17" s="99"/>
      <c r="I17" s="91">
        <f>FormSampel!C16</f>
        <v>45688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8" t="str">
        <f>FormSampel!B17</f>
        <v>HC 28942277 - 2</v>
      </c>
      <c r="H18" s="98"/>
      <c r="I18" s="93">
        <f>FormSampel!C17</f>
        <v>46142</v>
      </c>
      <c r="J18" s="94"/>
    </row>
    <row r="19" spans="1:26" x14ac:dyDescent="0.25">
      <c r="A19" s="95" t="s">
        <v>48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49</v>
      </c>
      <c r="B20" s="101"/>
      <c r="C20" s="29">
        <f>FormSampel!G11</f>
        <v>0</v>
      </c>
      <c r="D20" s="30" t="s">
        <v>50</v>
      </c>
      <c r="E20" s="31">
        <v>1000</v>
      </c>
      <c r="F20" s="102" t="s">
        <v>51</v>
      </c>
      <c r="G20" s="101"/>
      <c r="H20" s="103" t="str">
        <f>IF(AND(C21&lt;0.15),"&lt;0.15",C21)</f>
        <v>&lt;0.15</v>
      </c>
      <c r="I20" s="104"/>
      <c r="J20" s="32" t="s">
        <v>52</v>
      </c>
    </row>
    <row r="21" spans="1:26" ht="15.75" customHeight="1" x14ac:dyDescent="0.25">
      <c r="A21" s="33" t="s">
        <v>53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56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49</v>
      </c>
      <c r="B23" s="101"/>
      <c r="C23" s="29">
        <f>FormSampel!H11</f>
        <v>0</v>
      </c>
      <c r="D23" s="30" t="s">
        <v>50</v>
      </c>
      <c r="E23" s="36">
        <v>1000</v>
      </c>
      <c r="F23" s="102" t="s">
        <v>51</v>
      </c>
      <c r="G23" s="101"/>
      <c r="H23" s="103" t="str">
        <f>IF(C24&lt;0.15,"&lt;0.15",C24)</f>
        <v>&lt;0.15</v>
      </c>
      <c r="I23" s="104"/>
      <c r="J23" s="32" t="s">
        <v>52</v>
      </c>
    </row>
    <row r="24" spans="1:26" ht="15.75" customHeight="1" x14ac:dyDescent="0.25">
      <c r="A24" s="33" t="s">
        <v>53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54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49</v>
      </c>
      <c r="B26" s="111"/>
      <c r="C26" s="29">
        <f>FormSampel!I11</f>
        <v>0</v>
      </c>
      <c r="D26" s="30" t="s">
        <v>50</v>
      </c>
      <c r="E26" s="36">
        <v>1000</v>
      </c>
      <c r="F26" s="112" t="s">
        <v>51</v>
      </c>
      <c r="G26" s="101"/>
      <c r="H26" s="103" t="str">
        <f>IF(AND(C27&lt;0.15),"&lt;0.15",C27)</f>
        <v>&lt;0.15</v>
      </c>
      <c r="I26" s="104"/>
      <c r="J26" s="37" t="s">
        <v>52</v>
      </c>
    </row>
    <row r="27" spans="1:26" ht="15.75" customHeight="1" x14ac:dyDescent="0.25">
      <c r="A27" s="33" t="s">
        <v>53</v>
      </c>
      <c r="B27" s="34"/>
      <c r="C27" s="113">
        <f>C26/1000</f>
        <v>0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55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49</v>
      </c>
      <c r="B29" s="111"/>
      <c r="C29" s="29">
        <f>FormSampel!J11</f>
        <v>0</v>
      </c>
      <c r="D29" s="30" t="s">
        <v>50</v>
      </c>
      <c r="E29" s="36">
        <v>1000</v>
      </c>
      <c r="F29" s="115" t="s">
        <v>51</v>
      </c>
      <c r="G29" s="111"/>
      <c r="H29" s="103" t="str">
        <f>IF(AND(C30&lt;0.15),"&lt;0.15",C30)</f>
        <v>&lt;0.15</v>
      </c>
      <c r="I29" s="104"/>
      <c r="J29" s="32" t="s">
        <v>52</v>
      </c>
    </row>
    <row r="30" spans="1:26" ht="15.75" customHeight="1" x14ac:dyDescent="0.25">
      <c r="A30" s="33" t="s">
        <v>53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57</v>
      </c>
      <c r="B31" s="11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59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60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61</v>
      </c>
      <c r="B38" s="117"/>
      <c r="C38" s="117"/>
      <c r="D38" s="117"/>
      <c r="E38" s="118"/>
      <c r="F38" s="137" t="str">
        <f>FormSampel!B19</f>
        <v>PERMIT   AMIR   NASOHA</v>
      </c>
      <c r="G38" s="138"/>
      <c r="H38" s="141">
        <f>FormSampel!B20</f>
        <v>45570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62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FormSampel!F12</f>
        <v>0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 t="str">
        <f>FormSampel!B2</f>
        <v>051124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4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5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6</v>
      </c>
      <c r="B7" s="117"/>
      <c r="C7" s="128" t="s">
        <v>7</v>
      </c>
      <c r="D7" s="117"/>
      <c r="E7" s="117"/>
      <c r="F7" s="42" t="s">
        <v>8</v>
      </c>
      <c r="G7" s="116" t="s">
        <v>9</v>
      </c>
      <c r="H7" s="117"/>
      <c r="I7" s="117"/>
      <c r="J7" s="118"/>
    </row>
    <row r="8" spans="1:26" ht="15" customHeight="1" x14ac:dyDescent="0.25">
      <c r="A8" s="129" t="s">
        <v>10</v>
      </c>
      <c r="B8" s="111"/>
      <c r="C8" s="130" t="s">
        <v>11</v>
      </c>
      <c r="D8" s="111"/>
      <c r="E8" s="4"/>
      <c r="F8" s="38" t="s">
        <v>12</v>
      </c>
      <c r="G8" s="6" t="s">
        <v>13</v>
      </c>
      <c r="H8" s="6" t="s">
        <v>14</v>
      </c>
      <c r="I8" s="119"/>
      <c r="J8" s="120"/>
    </row>
    <row r="9" spans="1:26" ht="30" customHeight="1" x14ac:dyDescent="0.25">
      <c r="A9" s="131" t="s">
        <v>15</v>
      </c>
      <c r="B9" s="111"/>
      <c r="C9" s="130" t="s">
        <v>16</v>
      </c>
      <c r="D9" s="111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9" t="s">
        <v>20</v>
      </c>
      <c r="B10" s="111"/>
      <c r="C10" s="130" t="s">
        <v>21</v>
      </c>
      <c r="D10" s="111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1" t="s">
        <v>25</v>
      </c>
      <c r="B11" s="111"/>
      <c r="C11" s="134" t="s">
        <v>26</v>
      </c>
      <c r="D11" s="111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9" t="s">
        <v>30</v>
      </c>
      <c r="B12" s="111"/>
      <c r="C12" s="130" t="s">
        <v>31</v>
      </c>
      <c r="D12" s="111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9" t="s">
        <v>35</v>
      </c>
      <c r="B13" s="111"/>
      <c r="C13" s="130" t="s">
        <v>36</v>
      </c>
      <c r="D13" s="111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9" t="s">
        <v>40</v>
      </c>
      <c r="B14" s="111"/>
      <c r="C14" s="130" t="s">
        <v>41</v>
      </c>
      <c r="D14" s="111"/>
      <c r="E14" s="7"/>
      <c r="F14" s="132" t="s">
        <v>42</v>
      </c>
      <c r="G14" s="111"/>
      <c r="H14" s="111"/>
      <c r="I14" s="133" t="s">
        <v>43</v>
      </c>
      <c r="J14" s="120"/>
    </row>
    <row r="15" spans="1:26" ht="15" customHeight="1" x14ac:dyDescent="0.25">
      <c r="A15" s="129" t="s">
        <v>44</v>
      </c>
      <c r="B15" s="111"/>
      <c r="C15" s="130" t="s">
        <v>45</v>
      </c>
      <c r="D15" s="111"/>
      <c r="E15" s="7"/>
      <c r="F15" s="43" t="s">
        <v>74</v>
      </c>
      <c r="G15" s="136" t="str">
        <f>FormSampel!B14</f>
        <v>HC 16350373 - 2</v>
      </c>
      <c r="H15" s="136"/>
      <c r="I15" s="91">
        <f>FormSampel!C14</f>
        <v>45808</v>
      </c>
      <c r="J15" s="92"/>
    </row>
    <row r="16" spans="1:26" ht="15" customHeight="1" x14ac:dyDescent="0.25">
      <c r="A16" s="129" t="s">
        <v>46</v>
      </c>
      <c r="B16" s="111"/>
      <c r="C16" s="135" t="s">
        <v>47</v>
      </c>
      <c r="D16" s="111"/>
      <c r="E16" s="111"/>
      <c r="F16" s="44" t="s">
        <v>75</v>
      </c>
      <c r="G16" s="99" t="str">
        <f>FormSampel!B15</f>
        <v>HC 15161426 - 2</v>
      </c>
      <c r="H16" s="99"/>
      <c r="I16" s="91">
        <f>FormSampel!C15</f>
        <v>45716</v>
      </c>
      <c r="J16" s="9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99" t="str">
        <f>FormSampel!B16</f>
        <v>HC 14813176 - 2</v>
      </c>
      <c r="H17" s="99"/>
      <c r="I17" s="91">
        <f>FormSampel!C16</f>
        <v>45688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8" t="str">
        <f>FormSampel!B17</f>
        <v>HC 28942277 - 2</v>
      </c>
      <c r="H18" s="98"/>
      <c r="I18" s="93">
        <f>FormSampel!C17</f>
        <v>46142</v>
      </c>
      <c r="J18" s="94"/>
    </row>
    <row r="19" spans="1:26" x14ac:dyDescent="0.25">
      <c r="A19" s="95" t="s">
        <v>48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49</v>
      </c>
      <c r="B20" s="101"/>
      <c r="C20" s="29">
        <f>FormSampel!G12</f>
        <v>0</v>
      </c>
      <c r="D20" s="30" t="s">
        <v>50</v>
      </c>
      <c r="E20" s="31">
        <v>1000</v>
      </c>
      <c r="F20" s="102" t="s">
        <v>51</v>
      </c>
      <c r="G20" s="101"/>
      <c r="H20" s="103" t="str">
        <f>IF(AND(C21&lt;0.15),"&lt;0.15",C21)</f>
        <v>&lt;0.15</v>
      </c>
      <c r="I20" s="104"/>
      <c r="J20" s="32" t="s">
        <v>52</v>
      </c>
    </row>
    <row r="21" spans="1:26" ht="15.75" customHeight="1" x14ac:dyDescent="0.25">
      <c r="A21" s="33" t="s">
        <v>53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56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49</v>
      </c>
      <c r="B23" s="101"/>
      <c r="C23" s="29">
        <f>FormSampel!H12</f>
        <v>0</v>
      </c>
      <c r="D23" s="30" t="s">
        <v>50</v>
      </c>
      <c r="E23" s="36">
        <v>1000</v>
      </c>
      <c r="F23" s="102" t="s">
        <v>51</v>
      </c>
      <c r="G23" s="101"/>
      <c r="H23" s="103" t="str">
        <f>IF(C24&lt;0.15,"&lt;0.15",C24)</f>
        <v>&lt;0.15</v>
      </c>
      <c r="I23" s="104"/>
      <c r="J23" s="32" t="s">
        <v>52</v>
      </c>
    </row>
    <row r="24" spans="1:26" ht="15.75" customHeight="1" x14ac:dyDescent="0.25">
      <c r="A24" s="33" t="s">
        <v>53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54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49</v>
      </c>
      <c r="B26" s="111"/>
      <c r="C26" s="29">
        <f>FormSampel!I12</f>
        <v>0</v>
      </c>
      <c r="D26" s="30" t="s">
        <v>50</v>
      </c>
      <c r="E26" s="36">
        <v>1000</v>
      </c>
      <c r="F26" s="112" t="s">
        <v>51</v>
      </c>
      <c r="G26" s="101"/>
      <c r="H26" s="103" t="str">
        <f>IF(AND(C27&lt;0.15),"&lt;0.15",C27)</f>
        <v>&lt;0.15</v>
      </c>
      <c r="I26" s="104"/>
      <c r="J26" s="37" t="s">
        <v>52</v>
      </c>
    </row>
    <row r="27" spans="1:26" ht="15.75" customHeight="1" x14ac:dyDescent="0.25">
      <c r="A27" s="33" t="s">
        <v>53</v>
      </c>
      <c r="B27" s="34"/>
      <c r="C27" s="113">
        <f>C26/1000</f>
        <v>0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55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49</v>
      </c>
      <c r="B29" s="111"/>
      <c r="C29" s="29">
        <f>FormSampel!J12</f>
        <v>0</v>
      </c>
      <c r="D29" s="30" t="s">
        <v>50</v>
      </c>
      <c r="E29" s="36">
        <v>1000</v>
      </c>
      <c r="F29" s="115" t="s">
        <v>51</v>
      </c>
      <c r="G29" s="111"/>
      <c r="H29" s="103" t="str">
        <f>IF(AND(C30&lt;0.15),"&lt;0.15",C30)</f>
        <v>&lt;0.15</v>
      </c>
      <c r="I29" s="104"/>
      <c r="J29" s="32" t="s">
        <v>52</v>
      </c>
    </row>
    <row r="30" spans="1:26" ht="15.75" customHeight="1" x14ac:dyDescent="0.25">
      <c r="A30" s="33" t="s">
        <v>53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57</v>
      </c>
      <c r="B31" s="11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59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60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61</v>
      </c>
      <c r="B38" s="117"/>
      <c r="C38" s="117"/>
      <c r="D38" s="117"/>
      <c r="E38" s="118"/>
      <c r="F38" s="137" t="str">
        <f>FormSampel!B19</f>
        <v>PERMIT   AMIR   NASOHA</v>
      </c>
      <c r="G38" s="138"/>
      <c r="H38" s="141">
        <f>FormSampel!B20</f>
        <v>45570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62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topLeftCell="A19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FormSampel!F13</f>
        <v>0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 t="str">
        <f>FormSampel!B2</f>
        <v>051124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4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5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6</v>
      </c>
      <c r="B7" s="117"/>
      <c r="C7" s="128" t="s">
        <v>7</v>
      </c>
      <c r="D7" s="117"/>
      <c r="E7" s="117"/>
      <c r="F7" s="42" t="s">
        <v>8</v>
      </c>
      <c r="G7" s="116" t="s">
        <v>9</v>
      </c>
      <c r="H7" s="117"/>
      <c r="I7" s="117"/>
      <c r="J7" s="118"/>
    </row>
    <row r="8" spans="1:26" ht="15" customHeight="1" x14ac:dyDescent="0.25">
      <c r="A8" s="129" t="s">
        <v>10</v>
      </c>
      <c r="B8" s="111"/>
      <c r="C8" s="130" t="s">
        <v>11</v>
      </c>
      <c r="D8" s="111"/>
      <c r="E8" s="4"/>
      <c r="F8" s="38" t="s">
        <v>12</v>
      </c>
      <c r="G8" s="6" t="s">
        <v>13</v>
      </c>
      <c r="H8" s="6" t="s">
        <v>14</v>
      </c>
      <c r="I8" s="119"/>
      <c r="J8" s="120"/>
    </row>
    <row r="9" spans="1:26" ht="30" customHeight="1" x14ac:dyDescent="0.25">
      <c r="A9" s="131" t="s">
        <v>15</v>
      </c>
      <c r="B9" s="111"/>
      <c r="C9" s="130" t="s">
        <v>16</v>
      </c>
      <c r="D9" s="111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9" t="s">
        <v>20</v>
      </c>
      <c r="B10" s="111"/>
      <c r="C10" s="130" t="s">
        <v>21</v>
      </c>
      <c r="D10" s="111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1" t="s">
        <v>25</v>
      </c>
      <c r="B11" s="111"/>
      <c r="C11" s="134" t="s">
        <v>26</v>
      </c>
      <c r="D11" s="111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9" t="s">
        <v>30</v>
      </c>
      <c r="B12" s="111"/>
      <c r="C12" s="130" t="s">
        <v>31</v>
      </c>
      <c r="D12" s="111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9" t="s">
        <v>35</v>
      </c>
      <c r="B13" s="111"/>
      <c r="C13" s="130" t="s">
        <v>36</v>
      </c>
      <c r="D13" s="111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9" t="s">
        <v>40</v>
      </c>
      <c r="B14" s="111"/>
      <c r="C14" s="130" t="s">
        <v>41</v>
      </c>
      <c r="D14" s="111"/>
      <c r="E14" s="7"/>
      <c r="F14" s="132" t="s">
        <v>42</v>
      </c>
      <c r="G14" s="111"/>
      <c r="H14" s="111"/>
      <c r="I14" s="133" t="s">
        <v>43</v>
      </c>
      <c r="J14" s="120"/>
    </row>
    <row r="15" spans="1:26" ht="15" customHeight="1" x14ac:dyDescent="0.25">
      <c r="A15" s="129" t="s">
        <v>44</v>
      </c>
      <c r="B15" s="111"/>
      <c r="C15" s="130" t="s">
        <v>45</v>
      </c>
      <c r="D15" s="111"/>
      <c r="E15" s="7"/>
      <c r="F15" s="43" t="s">
        <v>74</v>
      </c>
      <c r="G15" s="136" t="str">
        <f>FormSampel!B14</f>
        <v>HC 16350373 - 2</v>
      </c>
      <c r="H15" s="136"/>
      <c r="I15" s="91">
        <f>FormSampel!C14</f>
        <v>45808</v>
      </c>
      <c r="J15" s="92"/>
    </row>
    <row r="16" spans="1:26" ht="15" customHeight="1" x14ac:dyDescent="0.25">
      <c r="A16" s="129" t="s">
        <v>46</v>
      </c>
      <c r="B16" s="111"/>
      <c r="C16" s="135" t="s">
        <v>47</v>
      </c>
      <c r="D16" s="111"/>
      <c r="E16" s="111"/>
      <c r="F16" s="44" t="s">
        <v>75</v>
      </c>
      <c r="G16" s="99" t="str">
        <f>FormSampel!B15</f>
        <v>HC 15161426 - 2</v>
      </c>
      <c r="H16" s="99"/>
      <c r="I16" s="91">
        <f>FormSampel!C15</f>
        <v>45716</v>
      </c>
      <c r="J16" s="9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99" t="str">
        <f>FormSampel!B16</f>
        <v>HC 14813176 - 2</v>
      </c>
      <c r="H17" s="99"/>
      <c r="I17" s="91">
        <f>FormSampel!C16</f>
        <v>45688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8" t="str">
        <f>FormSampel!B17</f>
        <v>HC 28942277 - 2</v>
      </c>
      <c r="H18" s="98"/>
      <c r="I18" s="93">
        <f>FormSampel!C17</f>
        <v>46142</v>
      </c>
      <c r="J18" s="94"/>
    </row>
    <row r="19" spans="1:26" x14ac:dyDescent="0.25">
      <c r="A19" s="95" t="s">
        <v>48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49</v>
      </c>
      <c r="B20" s="101"/>
      <c r="C20" s="29">
        <f>FormSampel!G13</f>
        <v>0</v>
      </c>
      <c r="D20" s="30" t="s">
        <v>50</v>
      </c>
      <c r="E20" s="31">
        <v>1000</v>
      </c>
      <c r="F20" s="102" t="s">
        <v>51</v>
      </c>
      <c r="G20" s="101"/>
      <c r="H20" s="103" t="str">
        <f>IF(AND(C21&lt;0.15),"&lt;0.15",C21)</f>
        <v>&lt;0.15</v>
      </c>
      <c r="I20" s="104"/>
      <c r="J20" s="32" t="s">
        <v>52</v>
      </c>
    </row>
    <row r="21" spans="1:26" ht="15.75" customHeight="1" x14ac:dyDescent="0.25">
      <c r="A21" s="33" t="s">
        <v>53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56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49</v>
      </c>
      <c r="B23" s="101"/>
      <c r="C23" s="29">
        <f>FormSampel!H13</f>
        <v>0</v>
      </c>
      <c r="D23" s="30" t="s">
        <v>50</v>
      </c>
      <c r="E23" s="36">
        <v>1000</v>
      </c>
      <c r="F23" s="102" t="s">
        <v>51</v>
      </c>
      <c r="G23" s="101"/>
      <c r="H23" s="103" t="str">
        <f>IF(C24&lt;0.15,"&lt;0.15",C24)</f>
        <v>&lt;0.15</v>
      </c>
      <c r="I23" s="104"/>
      <c r="J23" s="32" t="s">
        <v>52</v>
      </c>
    </row>
    <row r="24" spans="1:26" ht="15.75" customHeight="1" x14ac:dyDescent="0.25">
      <c r="A24" s="33" t="s">
        <v>53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54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49</v>
      </c>
      <c r="B26" s="111"/>
      <c r="C26" s="29">
        <f>FormSampel!I13</f>
        <v>0</v>
      </c>
      <c r="D26" s="30" t="s">
        <v>50</v>
      </c>
      <c r="E26" s="36">
        <v>1000</v>
      </c>
      <c r="F26" s="112" t="s">
        <v>51</v>
      </c>
      <c r="G26" s="101"/>
      <c r="H26" s="103" t="str">
        <f>IF(AND(C27&lt;0.15),"&lt;0.15",C27)</f>
        <v>&lt;0.15</v>
      </c>
      <c r="I26" s="104"/>
      <c r="J26" s="37" t="s">
        <v>52</v>
      </c>
    </row>
    <row r="27" spans="1:26" ht="15.75" customHeight="1" x14ac:dyDescent="0.25">
      <c r="A27" s="33" t="s">
        <v>53</v>
      </c>
      <c r="B27" s="34"/>
      <c r="C27" s="113">
        <f>C26/1000</f>
        <v>0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55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49</v>
      </c>
      <c r="B29" s="111"/>
      <c r="C29" s="29">
        <f>FormSampel!J13</f>
        <v>0</v>
      </c>
      <c r="D29" s="30" t="s">
        <v>50</v>
      </c>
      <c r="E29" s="36">
        <v>1000</v>
      </c>
      <c r="F29" s="115" t="s">
        <v>51</v>
      </c>
      <c r="G29" s="111"/>
      <c r="H29" s="103" t="str">
        <f>IF(AND(C30&lt;0.15),"&lt;0.15",C30)</f>
        <v>&lt;0.15</v>
      </c>
      <c r="I29" s="104"/>
      <c r="J29" s="32" t="s">
        <v>52</v>
      </c>
    </row>
    <row r="30" spans="1:26" ht="15.75" customHeight="1" x14ac:dyDescent="0.25">
      <c r="A30" s="33" t="s">
        <v>53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57</v>
      </c>
      <c r="B31" s="11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59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60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61</v>
      </c>
      <c r="B38" s="117"/>
      <c r="C38" s="117"/>
      <c r="D38" s="117"/>
      <c r="E38" s="118"/>
      <c r="F38" s="137" t="str">
        <f>FormSampel!B19</f>
        <v>PERMIT   AMIR   NASOHA</v>
      </c>
      <c r="G38" s="138"/>
      <c r="H38" s="141">
        <f>FormSampel!B20</f>
        <v>45570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62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topLeftCell="A19" zoomScale="112" zoomScaleNormal="100" zoomScalePageLayoutView="112" workbookViewId="0">
      <selection activeCell="C20" sqref="C2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FormSampel!F14</f>
        <v>0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 t="str">
        <f>FormSampel!B2</f>
        <v>051124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4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5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6</v>
      </c>
      <c r="B7" s="117"/>
      <c r="C7" s="128" t="s">
        <v>7</v>
      </c>
      <c r="D7" s="117"/>
      <c r="E7" s="117"/>
      <c r="F7" s="42" t="s">
        <v>8</v>
      </c>
      <c r="G7" s="116" t="s">
        <v>9</v>
      </c>
      <c r="H7" s="117"/>
      <c r="I7" s="117"/>
      <c r="J7" s="118"/>
    </row>
    <row r="8" spans="1:26" ht="15" customHeight="1" x14ac:dyDescent="0.25">
      <c r="A8" s="129" t="s">
        <v>10</v>
      </c>
      <c r="B8" s="111"/>
      <c r="C8" s="130" t="s">
        <v>11</v>
      </c>
      <c r="D8" s="111"/>
      <c r="E8" s="4"/>
      <c r="F8" s="38" t="s">
        <v>12</v>
      </c>
      <c r="G8" s="6" t="s">
        <v>13</v>
      </c>
      <c r="H8" s="6" t="s">
        <v>14</v>
      </c>
      <c r="I8" s="119"/>
      <c r="J8" s="120"/>
    </row>
    <row r="9" spans="1:26" ht="30" customHeight="1" x14ac:dyDescent="0.25">
      <c r="A9" s="131" t="s">
        <v>15</v>
      </c>
      <c r="B9" s="111"/>
      <c r="C9" s="130" t="s">
        <v>16</v>
      </c>
      <c r="D9" s="111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9" t="s">
        <v>20</v>
      </c>
      <c r="B10" s="111"/>
      <c r="C10" s="130" t="s">
        <v>21</v>
      </c>
      <c r="D10" s="111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1" t="s">
        <v>25</v>
      </c>
      <c r="B11" s="111"/>
      <c r="C11" s="134" t="s">
        <v>26</v>
      </c>
      <c r="D11" s="111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9" t="s">
        <v>30</v>
      </c>
      <c r="B12" s="111"/>
      <c r="C12" s="130" t="s">
        <v>31</v>
      </c>
      <c r="D12" s="111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9" t="s">
        <v>35</v>
      </c>
      <c r="B13" s="111"/>
      <c r="C13" s="130" t="s">
        <v>36</v>
      </c>
      <c r="D13" s="111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9" t="s">
        <v>40</v>
      </c>
      <c r="B14" s="111"/>
      <c r="C14" s="130" t="s">
        <v>41</v>
      </c>
      <c r="D14" s="111"/>
      <c r="E14" s="7"/>
      <c r="F14" s="132" t="s">
        <v>42</v>
      </c>
      <c r="G14" s="111"/>
      <c r="H14" s="111"/>
      <c r="I14" s="133" t="s">
        <v>43</v>
      </c>
      <c r="J14" s="120"/>
    </row>
    <row r="15" spans="1:26" ht="15" customHeight="1" x14ac:dyDescent="0.25">
      <c r="A15" s="129" t="s">
        <v>44</v>
      </c>
      <c r="B15" s="111"/>
      <c r="C15" s="130" t="s">
        <v>45</v>
      </c>
      <c r="D15" s="111"/>
      <c r="E15" s="7"/>
      <c r="F15" s="43" t="s">
        <v>74</v>
      </c>
      <c r="G15" s="136" t="str">
        <f>FormSampel!B14</f>
        <v>HC 16350373 - 2</v>
      </c>
      <c r="H15" s="136"/>
      <c r="I15" s="91">
        <f>FormSampel!C14</f>
        <v>45808</v>
      </c>
      <c r="J15" s="92"/>
    </row>
    <row r="16" spans="1:26" ht="15" customHeight="1" x14ac:dyDescent="0.25">
      <c r="A16" s="129" t="s">
        <v>46</v>
      </c>
      <c r="B16" s="111"/>
      <c r="C16" s="135" t="s">
        <v>47</v>
      </c>
      <c r="D16" s="111"/>
      <c r="E16" s="111"/>
      <c r="F16" s="44" t="s">
        <v>75</v>
      </c>
      <c r="G16" s="99" t="str">
        <f>FormSampel!B15</f>
        <v>HC 15161426 - 2</v>
      </c>
      <c r="H16" s="99"/>
      <c r="I16" s="91">
        <f>FormSampel!C15</f>
        <v>45716</v>
      </c>
      <c r="J16" s="9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99" t="str">
        <f>FormSampel!B16</f>
        <v>HC 14813176 - 2</v>
      </c>
      <c r="H17" s="99"/>
      <c r="I17" s="91">
        <f>FormSampel!C16</f>
        <v>45688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8" t="str">
        <f>FormSampel!B17</f>
        <v>HC 28942277 - 2</v>
      </c>
      <c r="H18" s="98"/>
      <c r="I18" s="93">
        <f>FormSampel!C17</f>
        <v>46142</v>
      </c>
      <c r="J18" s="94"/>
    </row>
    <row r="19" spans="1:26" x14ac:dyDescent="0.25">
      <c r="A19" s="95" t="s">
        <v>48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49</v>
      </c>
      <c r="B20" s="101"/>
      <c r="C20" s="29">
        <f>FormSampel!G14</f>
        <v>0</v>
      </c>
      <c r="D20" s="30" t="s">
        <v>50</v>
      </c>
      <c r="E20" s="31">
        <v>1000</v>
      </c>
      <c r="F20" s="102" t="s">
        <v>51</v>
      </c>
      <c r="G20" s="101"/>
      <c r="H20" s="103" t="str">
        <f>IF(AND(C21&lt;0.15),"&lt;0.15",C21)</f>
        <v>&lt;0.15</v>
      </c>
      <c r="I20" s="104"/>
      <c r="J20" s="32" t="s">
        <v>52</v>
      </c>
    </row>
    <row r="21" spans="1:26" ht="15.75" customHeight="1" x14ac:dyDescent="0.25">
      <c r="A21" s="33" t="s">
        <v>53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56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49</v>
      </c>
      <c r="B23" s="101"/>
      <c r="C23" s="29">
        <f>FormSampel!H14</f>
        <v>0</v>
      </c>
      <c r="D23" s="30" t="s">
        <v>50</v>
      </c>
      <c r="E23" s="36">
        <v>1000</v>
      </c>
      <c r="F23" s="102" t="s">
        <v>51</v>
      </c>
      <c r="G23" s="101"/>
      <c r="H23" s="103" t="str">
        <f>IF(C24&lt;0.15,"&lt;0.15",C24)</f>
        <v>&lt;0.15</v>
      </c>
      <c r="I23" s="104"/>
      <c r="J23" s="32" t="s">
        <v>52</v>
      </c>
    </row>
    <row r="24" spans="1:26" ht="15.75" customHeight="1" x14ac:dyDescent="0.25">
      <c r="A24" s="33" t="s">
        <v>53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54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49</v>
      </c>
      <c r="B26" s="111"/>
      <c r="C26" s="29">
        <f>FormSampel!I14</f>
        <v>0</v>
      </c>
      <c r="D26" s="30" t="s">
        <v>50</v>
      </c>
      <c r="E26" s="36">
        <v>1000</v>
      </c>
      <c r="F26" s="112" t="s">
        <v>51</v>
      </c>
      <c r="G26" s="101"/>
      <c r="H26" s="103" t="str">
        <f>IF(AND(C27&lt;0.15),"&lt;0.15",C27)</f>
        <v>&lt;0.15</v>
      </c>
      <c r="I26" s="104"/>
      <c r="J26" s="37" t="s">
        <v>52</v>
      </c>
    </row>
    <row r="27" spans="1:26" ht="15.75" customHeight="1" x14ac:dyDescent="0.25">
      <c r="A27" s="33" t="s">
        <v>53</v>
      </c>
      <c r="B27" s="34"/>
      <c r="C27" s="113">
        <f>C26/1000</f>
        <v>0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55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49</v>
      </c>
      <c r="B29" s="111"/>
      <c r="C29" s="29">
        <f>FormSampel!J14</f>
        <v>0</v>
      </c>
      <c r="D29" s="30" t="s">
        <v>50</v>
      </c>
      <c r="E29" s="36">
        <v>1000</v>
      </c>
      <c r="F29" s="115" t="s">
        <v>51</v>
      </c>
      <c r="G29" s="111"/>
      <c r="H29" s="103" t="str">
        <f>IF(AND(C30&lt;0.15),"&lt;0.15",C30)</f>
        <v>&lt;0.15</v>
      </c>
      <c r="I29" s="104"/>
      <c r="J29" s="32" t="s">
        <v>52</v>
      </c>
    </row>
    <row r="30" spans="1:26" ht="15.75" customHeight="1" x14ac:dyDescent="0.25">
      <c r="A30" s="33" t="s">
        <v>53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57</v>
      </c>
      <c r="B31" s="11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59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60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61</v>
      </c>
      <c r="B38" s="117"/>
      <c r="C38" s="117"/>
      <c r="D38" s="117"/>
      <c r="E38" s="118"/>
      <c r="F38" s="137" t="str">
        <f>FormSampel!B19</f>
        <v>PERMIT   AMIR   NASOHA</v>
      </c>
      <c r="G38" s="138"/>
      <c r="H38" s="141">
        <f>FormSampel!B20</f>
        <v>45570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62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FormSampel!F15</f>
        <v>0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 t="str">
        <f>FormSampel!B2</f>
        <v>051124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4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5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6</v>
      </c>
      <c r="B7" s="117"/>
      <c r="C7" s="128" t="s">
        <v>7</v>
      </c>
      <c r="D7" s="117"/>
      <c r="E7" s="117"/>
      <c r="F7" s="42" t="s">
        <v>8</v>
      </c>
      <c r="G7" s="116" t="s">
        <v>9</v>
      </c>
      <c r="H7" s="117"/>
      <c r="I7" s="117"/>
      <c r="J7" s="118"/>
    </row>
    <row r="8" spans="1:26" ht="15" customHeight="1" x14ac:dyDescent="0.25">
      <c r="A8" s="129" t="s">
        <v>10</v>
      </c>
      <c r="B8" s="111"/>
      <c r="C8" s="130" t="s">
        <v>11</v>
      </c>
      <c r="D8" s="111"/>
      <c r="E8" s="4"/>
      <c r="F8" s="38" t="s">
        <v>12</v>
      </c>
      <c r="G8" s="6" t="s">
        <v>13</v>
      </c>
      <c r="H8" s="6" t="s">
        <v>14</v>
      </c>
      <c r="I8" s="119"/>
      <c r="J8" s="120"/>
    </row>
    <row r="9" spans="1:26" ht="30" customHeight="1" x14ac:dyDescent="0.25">
      <c r="A9" s="131" t="s">
        <v>15</v>
      </c>
      <c r="B9" s="111"/>
      <c r="C9" s="130" t="s">
        <v>16</v>
      </c>
      <c r="D9" s="111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9" t="s">
        <v>20</v>
      </c>
      <c r="B10" s="111"/>
      <c r="C10" s="130" t="s">
        <v>21</v>
      </c>
      <c r="D10" s="111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1" t="s">
        <v>25</v>
      </c>
      <c r="B11" s="111"/>
      <c r="C11" s="134" t="s">
        <v>26</v>
      </c>
      <c r="D11" s="111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9" t="s">
        <v>30</v>
      </c>
      <c r="B12" s="111"/>
      <c r="C12" s="130" t="s">
        <v>31</v>
      </c>
      <c r="D12" s="111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9" t="s">
        <v>35</v>
      </c>
      <c r="B13" s="111"/>
      <c r="C13" s="130" t="s">
        <v>36</v>
      </c>
      <c r="D13" s="111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9" t="s">
        <v>40</v>
      </c>
      <c r="B14" s="111"/>
      <c r="C14" s="130" t="s">
        <v>41</v>
      </c>
      <c r="D14" s="111"/>
      <c r="E14" s="7"/>
      <c r="F14" s="132" t="s">
        <v>42</v>
      </c>
      <c r="G14" s="111"/>
      <c r="H14" s="111"/>
      <c r="I14" s="133" t="s">
        <v>43</v>
      </c>
      <c r="J14" s="120"/>
    </row>
    <row r="15" spans="1:26" ht="15" customHeight="1" x14ac:dyDescent="0.25">
      <c r="A15" s="129" t="s">
        <v>44</v>
      </c>
      <c r="B15" s="111"/>
      <c r="C15" s="130" t="s">
        <v>45</v>
      </c>
      <c r="D15" s="111"/>
      <c r="E15" s="7"/>
      <c r="F15" s="43" t="s">
        <v>74</v>
      </c>
      <c r="G15" s="136" t="str">
        <f>FormSampel!B14</f>
        <v>HC 16350373 - 2</v>
      </c>
      <c r="H15" s="136"/>
      <c r="I15" s="91">
        <f>FormSampel!C14</f>
        <v>45808</v>
      </c>
      <c r="J15" s="92"/>
    </row>
    <row r="16" spans="1:26" ht="15" customHeight="1" x14ac:dyDescent="0.25">
      <c r="A16" s="129" t="s">
        <v>46</v>
      </c>
      <c r="B16" s="111"/>
      <c r="C16" s="135" t="s">
        <v>47</v>
      </c>
      <c r="D16" s="111"/>
      <c r="E16" s="111"/>
      <c r="F16" s="44" t="s">
        <v>75</v>
      </c>
      <c r="G16" s="99" t="str">
        <f>FormSampel!B15</f>
        <v>HC 15161426 - 2</v>
      </c>
      <c r="H16" s="99"/>
      <c r="I16" s="91">
        <f>FormSampel!C15</f>
        <v>45716</v>
      </c>
      <c r="J16" s="9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99" t="str">
        <f>FormSampel!B16</f>
        <v>HC 14813176 - 2</v>
      </c>
      <c r="H17" s="99"/>
      <c r="I17" s="91">
        <f>FormSampel!C16</f>
        <v>45688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8" t="str">
        <f>FormSampel!B17</f>
        <v>HC 28942277 - 2</v>
      </c>
      <c r="H18" s="98"/>
      <c r="I18" s="93">
        <f>FormSampel!C17</f>
        <v>46142</v>
      </c>
      <c r="J18" s="94"/>
    </row>
    <row r="19" spans="1:26" x14ac:dyDescent="0.25">
      <c r="A19" s="95" t="s">
        <v>48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49</v>
      </c>
      <c r="B20" s="101"/>
      <c r="C20" s="29">
        <f>FormSampel!G15</f>
        <v>0</v>
      </c>
      <c r="D20" s="30" t="s">
        <v>50</v>
      </c>
      <c r="E20" s="31">
        <v>1000</v>
      </c>
      <c r="F20" s="102" t="s">
        <v>51</v>
      </c>
      <c r="G20" s="101"/>
      <c r="H20" s="103" t="str">
        <f>IF(AND(C21&lt;0.15),"&lt;0.15",C21)</f>
        <v>&lt;0.15</v>
      </c>
      <c r="I20" s="104"/>
      <c r="J20" s="32" t="s">
        <v>52</v>
      </c>
    </row>
    <row r="21" spans="1:26" ht="15.75" customHeight="1" x14ac:dyDescent="0.25">
      <c r="A21" s="33" t="s">
        <v>53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56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49</v>
      </c>
      <c r="B23" s="101"/>
      <c r="C23" s="29">
        <f>FormSampel!H15</f>
        <v>0</v>
      </c>
      <c r="D23" s="30" t="s">
        <v>50</v>
      </c>
      <c r="E23" s="36">
        <v>1000</v>
      </c>
      <c r="F23" s="102" t="s">
        <v>51</v>
      </c>
      <c r="G23" s="101"/>
      <c r="H23" s="103" t="str">
        <f>IF(C24&lt;0.15,"&lt;0.15",C24)</f>
        <v>&lt;0.15</v>
      </c>
      <c r="I23" s="104"/>
      <c r="J23" s="32" t="s">
        <v>52</v>
      </c>
    </row>
    <row r="24" spans="1:26" ht="15.75" customHeight="1" x14ac:dyDescent="0.25">
      <c r="A24" s="33" t="s">
        <v>53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54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49</v>
      </c>
      <c r="B26" s="111"/>
      <c r="C26" s="29">
        <f>FormSampel!I15</f>
        <v>0</v>
      </c>
      <c r="D26" s="30" t="s">
        <v>50</v>
      </c>
      <c r="E26" s="36">
        <v>1000</v>
      </c>
      <c r="F26" s="112" t="s">
        <v>51</v>
      </c>
      <c r="G26" s="101"/>
      <c r="H26" s="103" t="str">
        <f>IF(AND(C27&lt;0.15),"&lt;0.15",C27)</f>
        <v>&lt;0.15</v>
      </c>
      <c r="I26" s="104"/>
      <c r="J26" s="37" t="s">
        <v>52</v>
      </c>
    </row>
    <row r="27" spans="1:26" ht="15.75" customHeight="1" x14ac:dyDescent="0.25">
      <c r="A27" s="33" t="s">
        <v>53</v>
      </c>
      <c r="B27" s="34"/>
      <c r="C27" s="113">
        <f>C26/1000</f>
        <v>0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55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49</v>
      </c>
      <c r="B29" s="111"/>
      <c r="C29" s="29">
        <f>FormSampel!J15</f>
        <v>0</v>
      </c>
      <c r="D29" s="30" t="s">
        <v>50</v>
      </c>
      <c r="E29" s="36">
        <v>1000</v>
      </c>
      <c r="F29" s="115" t="s">
        <v>51</v>
      </c>
      <c r="G29" s="111"/>
      <c r="H29" s="103" t="str">
        <f>IF(AND(C30&lt;0.15),"&lt;0.15",C30)</f>
        <v>&lt;0.15</v>
      </c>
      <c r="I29" s="104"/>
      <c r="J29" s="32" t="s">
        <v>52</v>
      </c>
    </row>
    <row r="30" spans="1:26" ht="15.75" customHeight="1" x14ac:dyDescent="0.25">
      <c r="A30" s="33" t="s">
        <v>53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57</v>
      </c>
      <c r="B31" s="11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59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60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61</v>
      </c>
      <c r="B38" s="117"/>
      <c r="C38" s="117"/>
      <c r="D38" s="117"/>
      <c r="E38" s="118"/>
      <c r="F38" s="137" t="str">
        <f>FormSampel!B19</f>
        <v>PERMIT   AMIR   NASOHA</v>
      </c>
      <c r="G38" s="138"/>
      <c r="H38" s="141">
        <f>FormSampel!B20</f>
        <v>45570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62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FormSampel!F16</f>
        <v>0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 t="str">
        <f>FormSampel!B2</f>
        <v>051124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4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5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6</v>
      </c>
      <c r="B7" s="117"/>
      <c r="C7" s="128" t="s">
        <v>7</v>
      </c>
      <c r="D7" s="117"/>
      <c r="E7" s="117"/>
      <c r="F7" s="42" t="s">
        <v>8</v>
      </c>
      <c r="G7" s="116" t="s">
        <v>9</v>
      </c>
      <c r="H7" s="117"/>
      <c r="I7" s="117"/>
      <c r="J7" s="118"/>
    </row>
    <row r="8" spans="1:26" ht="15" customHeight="1" x14ac:dyDescent="0.25">
      <c r="A8" s="129" t="s">
        <v>10</v>
      </c>
      <c r="B8" s="111"/>
      <c r="C8" s="130" t="s">
        <v>11</v>
      </c>
      <c r="D8" s="111"/>
      <c r="E8" s="4"/>
      <c r="F8" s="38" t="s">
        <v>12</v>
      </c>
      <c r="G8" s="6" t="s">
        <v>13</v>
      </c>
      <c r="H8" s="6" t="s">
        <v>14</v>
      </c>
      <c r="I8" s="119"/>
      <c r="J8" s="120"/>
    </row>
    <row r="9" spans="1:26" ht="30" customHeight="1" x14ac:dyDescent="0.25">
      <c r="A9" s="131" t="s">
        <v>15</v>
      </c>
      <c r="B9" s="111"/>
      <c r="C9" s="130" t="s">
        <v>16</v>
      </c>
      <c r="D9" s="111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9" t="s">
        <v>20</v>
      </c>
      <c r="B10" s="111"/>
      <c r="C10" s="130" t="s">
        <v>21</v>
      </c>
      <c r="D10" s="111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1" t="s">
        <v>25</v>
      </c>
      <c r="B11" s="111"/>
      <c r="C11" s="134" t="s">
        <v>26</v>
      </c>
      <c r="D11" s="111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9" t="s">
        <v>30</v>
      </c>
      <c r="B12" s="111"/>
      <c r="C12" s="130" t="s">
        <v>31</v>
      </c>
      <c r="D12" s="111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9" t="s">
        <v>35</v>
      </c>
      <c r="B13" s="111"/>
      <c r="C13" s="130" t="s">
        <v>36</v>
      </c>
      <c r="D13" s="111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9" t="s">
        <v>40</v>
      </c>
      <c r="B14" s="111"/>
      <c r="C14" s="130" t="s">
        <v>41</v>
      </c>
      <c r="D14" s="111"/>
      <c r="E14" s="7"/>
      <c r="F14" s="132" t="s">
        <v>42</v>
      </c>
      <c r="G14" s="111"/>
      <c r="H14" s="111"/>
      <c r="I14" s="133" t="s">
        <v>43</v>
      </c>
      <c r="J14" s="120"/>
    </row>
    <row r="15" spans="1:26" ht="15" customHeight="1" x14ac:dyDescent="0.25">
      <c r="A15" s="129" t="s">
        <v>44</v>
      </c>
      <c r="B15" s="111"/>
      <c r="C15" s="130" t="s">
        <v>45</v>
      </c>
      <c r="D15" s="111"/>
      <c r="E15" s="7"/>
      <c r="F15" s="43" t="s">
        <v>74</v>
      </c>
      <c r="G15" s="136" t="str">
        <f>FormSampel!B14</f>
        <v>HC 16350373 - 2</v>
      </c>
      <c r="H15" s="136"/>
      <c r="I15" s="91">
        <f>FormSampel!C14</f>
        <v>45808</v>
      </c>
      <c r="J15" s="92"/>
    </row>
    <row r="16" spans="1:26" ht="15" customHeight="1" x14ac:dyDescent="0.25">
      <c r="A16" s="129" t="s">
        <v>46</v>
      </c>
      <c r="B16" s="111"/>
      <c r="C16" s="135" t="s">
        <v>47</v>
      </c>
      <c r="D16" s="111"/>
      <c r="E16" s="111"/>
      <c r="F16" s="44" t="s">
        <v>75</v>
      </c>
      <c r="G16" s="99" t="str">
        <f>FormSampel!B15</f>
        <v>HC 15161426 - 2</v>
      </c>
      <c r="H16" s="99"/>
      <c r="I16" s="91">
        <f>FormSampel!C15</f>
        <v>45716</v>
      </c>
      <c r="J16" s="9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99" t="str">
        <f>FormSampel!B16</f>
        <v>HC 14813176 - 2</v>
      </c>
      <c r="H17" s="99"/>
      <c r="I17" s="91">
        <f>FormSampel!C16</f>
        <v>45688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8" t="str">
        <f>FormSampel!B17</f>
        <v>HC 28942277 - 2</v>
      </c>
      <c r="H18" s="98"/>
      <c r="I18" s="93">
        <f>FormSampel!C17</f>
        <v>46142</v>
      </c>
      <c r="J18" s="94"/>
    </row>
    <row r="19" spans="1:26" x14ac:dyDescent="0.25">
      <c r="A19" s="95" t="s">
        <v>48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49</v>
      </c>
      <c r="B20" s="101"/>
      <c r="C20" s="29">
        <f>FormSampel!G16</f>
        <v>0</v>
      </c>
      <c r="D20" s="30" t="s">
        <v>50</v>
      </c>
      <c r="E20" s="31">
        <v>1000</v>
      </c>
      <c r="F20" s="102" t="s">
        <v>51</v>
      </c>
      <c r="G20" s="101"/>
      <c r="H20" s="103" t="str">
        <f>IF(AND(C21&lt;0.15),"&lt;0.15",C21)</f>
        <v>&lt;0.15</v>
      </c>
      <c r="I20" s="104"/>
      <c r="J20" s="32" t="s">
        <v>52</v>
      </c>
    </row>
    <row r="21" spans="1:26" ht="15.75" customHeight="1" x14ac:dyDescent="0.25">
      <c r="A21" s="33" t="s">
        <v>53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56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49</v>
      </c>
      <c r="B23" s="101"/>
      <c r="C23" s="29">
        <f>FormSampel!H16</f>
        <v>0</v>
      </c>
      <c r="D23" s="30" t="s">
        <v>50</v>
      </c>
      <c r="E23" s="36">
        <v>1000</v>
      </c>
      <c r="F23" s="102" t="s">
        <v>51</v>
      </c>
      <c r="G23" s="101"/>
      <c r="H23" s="103" t="str">
        <f>IF(C24&lt;0.15,"&lt;0.15",C24)</f>
        <v>&lt;0.15</v>
      </c>
      <c r="I23" s="104"/>
      <c r="J23" s="32" t="s">
        <v>52</v>
      </c>
    </row>
    <row r="24" spans="1:26" ht="15.75" customHeight="1" x14ac:dyDescent="0.25">
      <c r="A24" s="33" t="s">
        <v>53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54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49</v>
      </c>
      <c r="B26" s="111"/>
      <c r="C26" s="29">
        <f>FormSampel!I16</f>
        <v>0</v>
      </c>
      <c r="D26" s="30" t="s">
        <v>50</v>
      </c>
      <c r="E26" s="36">
        <v>1000</v>
      </c>
      <c r="F26" s="112" t="s">
        <v>51</v>
      </c>
      <c r="G26" s="101"/>
      <c r="H26" s="103" t="str">
        <f>IF(AND(C27&lt;0.15),"&lt;0.15",C27)</f>
        <v>&lt;0.15</v>
      </c>
      <c r="I26" s="104"/>
      <c r="J26" s="37" t="s">
        <v>52</v>
      </c>
    </row>
    <row r="27" spans="1:26" ht="15.75" customHeight="1" x14ac:dyDescent="0.25">
      <c r="A27" s="33" t="s">
        <v>53</v>
      </c>
      <c r="B27" s="34"/>
      <c r="C27" s="113">
        <f>C26/1000</f>
        <v>0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55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49</v>
      </c>
      <c r="B29" s="111"/>
      <c r="C29" s="29">
        <f>FormSampel!J16</f>
        <v>0</v>
      </c>
      <c r="D29" s="30" t="s">
        <v>50</v>
      </c>
      <c r="E29" s="36">
        <v>1000</v>
      </c>
      <c r="F29" s="115" t="s">
        <v>51</v>
      </c>
      <c r="G29" s="111"/>
      <c r="H29" s="103" t="str">
        <f>IF(AND(C30&lt;0.15),"&lt;0.15",C30)</f>
        <v>&lt;0.15</v>
      </c>
      <c r="I29" s="104"/>
      <c r="J29" s="32" t="s">
        <v>52</v>
      </c>
    </row>
    <row r="30" spans="1:26" ht="15.75" customHeight="1" x14ac:dyDescent="0.25">
      <c r="A30" s="33" t="s">
        <v>53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57</v>
      </c>
      <c r="B31" s="11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59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60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61</v>
      </c>
      <c r="B38" s="117"/>
      <c r="C38" s="117"/>
      <c r="D38" s="117"/>
      <c r="E38" s="118"/>
      <c r="F38" s="137" t="str">
        <f>FormSampel!B19</f>
        <v>PERMIT   AMIR   NASOHA</v>
      </c>
      <c r="G38" s="138"/>
      <c r="H38" s="141">
        <f>FormSampel!B20</f>
        <v>45570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62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FormSampel!F17</f>
        <v>0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 t="str">
        <f>FormSampel!B2</f>
        <v>051124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4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5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6</v>
      </c>
      <c r="B7" s="117"/>
      <c r="C7" s="128" t="s">
        <v>7</v>
      </c>
      <c r="D7" s="117"/>
      <c r="E7" s="117"/>
      <c r="F7" s="42" t="s">
        <v>8</v>
      </c>
      <c r="G7" s="116" t="s">
        <v>9</v>
      </c>
      <c r="H7" s="117"/>
      <c r="I7" s="117"/>
      <c r="J7" s="118"/>
    </row>
    <row r="8" spans="1:26" ht="15" customHeight="1" x14ac:dyDescent="0.25">
      <c r="A8" s="129" t="s">
        <v>10</v>
      </c>
      <c r="B8" s="111"/>
      <c r="C8" s="130" t="s">
        <v>11</v>
      </c>
      <c r="D8" s="111"/>
      <c r="E8" s="4"/>
      <c r="F8" s="38" t="s">
        <v>12</v>
      </c>
      <c r="G8" s="6" t="s">
        <v>13</v>
      </c>
      <c r="H8" s="6" t="s">
        <v>14</v>
      </c>
      <c r="I8" s="119"/>
      <c r="J8" s="120"/>
    </row>
    <row r="9" spans="1:26" ht="30" customHeight="1" x14ac:dyDescent="0.25">
      <c r="A9" s="131" t="s">
        <v>15</v>
      </c>
      <c r="B9" s="111"/>
      <c r="C9" s="130" t="s">
        <v>16</v>
      </c>
      <c r="D9" s="111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9" t="s">
        <v>20</v>
      </c>
      <c r="B10" s="111"/>
      <c r="C10" s="130" t="s">
        <v>21</v>
      </c>
      <c r="D10" s="111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1" t="s">
        <v>25</v>
      </c>
      <c r="B11" s="111"/>
      <c r="C11" s="134" t="s">
        <v>26</v>
      </c>
      <c r="D11" s="111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9" t="s">
        <v>30</v>
      </c>
      <c r="B12" s="111"/>
      <c r="C12" s="130" t="s">
        <v>31</v>
      </c>
      <c r="D12" s="111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9" t="s">
        <v>35</v>
      </c>
      <c r="B13" s="111"/>
      <c r="C13" s="130" t="s">
        <v>36</v>
      </c>
      <c r="D13" s="111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9" t="s">
        <v>40</v>
      </c>
      <c r="B14" s="111"/>
      <c r="C14" s="130" t="s">
        <v>41</v>
      </c>
      <c r="D14" s="111"/>
      <c r="E14" s="7"/>
      <c r="F14" s="132" t="s">
        <v>42</v>
      </c>
      <c r="G14" s="111"/>
      <c r="H14" s="111"/>
      <c r="I14" s="133" t="s">
        <v>43</v>
      </c>
      <c r="J14" s="120"/>
    </row>
    <row r="15" spans="1:26" ht="15" customHeight="1" x14ac:dyDescent="0.25">
      <c r="A15" s="129" t="s">
        <v>44</v>
      </c>
      <c r="B15" s="111"/>
      <c r="C15" s="130" t="s">
        <v>45</v>
      </c>
      <c r="D15" s="111"/>
      <c r="E15" s="7"/>
      <c r="F15" s="43" t="s">
        <v>74</v>
      </c>
      <c r="G15" s="136" t="str">
        <f>FormSampel!B14</f>
        <v>HC 16350373 - 2</v>
      </c>
      <c r="H15" s="136"/>
      <c r="I15" s="91">
        <f>FormSampel!C14</f>
        <v>45808</v>
      </c>
      <c r="J15" s="92"/>
    </row>
    <row r="16" spans="1:26" ht="15" customHeight="1" x14ac:dyDescent="0.25">
      <c r="A16" s="129" t="s">
        <v>46</v>
      </c>
      <c r="B16" s="111"/>
      <c r="C16" s="135" t="s">
        <v>47</v>
      </c>
      <c r="D16" s="111"/>
      <c r="E16" s="111"/>
      <c r="F16" s="44" t="s">
        <v>75</v>
      </c>
      <c r="G16" s="99" t="str">
        <f>FormSampel!B15</f>
        <v>HC 15161426 - 2</v>
      </c>
      <c r="H16" s="99"/>
      <c r="I16" s="91">
        <f>FormSampel!C15</f>
        <v>45716</v>
      </c>
      <c r="J16" s="9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99" t="str">
        <f>FormSampel!B16</f>
        <v>HC 14813176 - 2</v>
      </c>
      <c r="H17" s="99"/>
      <c r="I17" s="91">
        <f>FormSampel!C16</f>
        <v>45688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8" t="str">
        <f>FormSampel!B17</f>
        <v>HC 28942277 - 2</v>
      </c>
      <c r="H18" s="98"/>
      <c r="I18" s="93">
        <f>FormSampel!C17</f>
        <v>46142</v>
      </c>
      <c r="J18" s="94"/>
    </row>
    <row r="19" spans="1:26" x14ac:dyDescent="0.25">
      <c r="A19" s="95" t="s">
        <v>48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49</v>
      </c>
      <c r="B20" s="101"/>
      <c r="C20" s="29">
        <f>FormSampel!G17</f>
        <v>0</v>
      </c>
      <c r="D20" s="30" t="s">
        <v>50</v>
      </c>
      <c r="E20" s="31">
        <v>1000</v>
      </c>
      <c r="F20" s="102" t="s">
        <v>51</v>
      </c>
      <c r="G20" s="101"/>
      <c r="H20" s="103" t="str">
        <f>IF(AND(C21&lt;0.15),"&lt;0.15",C21)</f>
        <v>&lt;0.15</v>
      </c>
      <c r="I20" s="104"/>
      <c r="J20" s="32" t="s">
        <v>52</v>
      </c>
    </row>
    <row r="21" spans="1:26" ht="15.75" customHeight="1" x14ac:dyDescent="0.25">
      <c r="A21" s="33" t="s">
        <v>53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56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49</v>
      </c>
      <c r="B23" s="101"/>
      <c r="C23" s="29">
        <f>FormSampel!H17</f>
        <v>0</v>
      </c>
      <c r="D23" s="30" t="s">
        <v>50</v>
      </c>
      <c r="E23" s="36">
        <v>1000</v>
      </c>
      <c r="F23" s="102" t="s">
        <v>51</v>
      </c>
      <c r="G23" s="101"/>
      <c r="H23" s="103" t="str">
        <f>IF(C24&lt;0.15,"&lt;0.15",C24)</f>
        <v>&lt;0.15</v>
      </c>
      <c r="I23" s="104"/>
      <c r="J23" s="32" t="s">
        <v>52</v>
      </c>
    </row>
    <row r="24" spans="1:26" ht="15.75" customHeight="1" x14ac:dyDescent="0.25">
      <c r="A24" s="33" t="s">
        <v>53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54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49</v>
      </c>
      <c r="B26" s="111"/>
      <c r="C26" s="29">
        <f>FormSampel!I17</f>
        <v>0</v>
      </c>
      <c r="D26" s="30" t="s">
        <v>50</v>
      </c>
      <c r="E26" s="36">
        <v>1000</v>
      </c>
      <c r="F26" s="112" t="s">
        <v>51</v>
      </c>
      <c r="G26" s="101"/>
      <c r="H26" s="103" t="str">
        <f>IF(AND(C27&lt;0.15),"&lt;0.15",C27)</f>
        <v>&lt;0.15</v>
      </c>
      <c r="I26" s="104"/>
      <c r="J26" s="37" t="s">
        <v>52</v>
      </c>
    </row>
    <row r="27" spans="1:26" ht="15.75" customHeight="1" x14ac:dyDescent="0.25">
      <c r="A27" s="33" t="s">
        <v>53</v>
      </c>
      <c r="B27" s="34"/>
      <c r="C27" s="113">
        <f>C26/1000</f>
        <v>0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55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49</v>
      </c>
      <c r="B29" s="111"/>
      <c r="C29" s="29">
        <f>FormSampel!J17</f>
        <v>0</v>
      </c>
      <c r="D29" s="30" t="s">
        <v>50</v>
      </c>
      <c r="E29" s="36">
        <v>1000</v>
      </c>
      <c r="F29" s="115" t="s">
        <v>51</v>
      </c>
      <c r="G29" s="111"/>
      <c r="H29" s="103" t="str">
        <f>IF(AND(C30&lt;0.15),"&lt;0.15",C30)</f>
        <v>&lt;0.15</v>
      </c>
      <c r="I29" s="104"/>
      <c r="J29" s="32" t="s">
        <v>52</v>
      </c>
    </row>
    <row r="30" spans="1:26" ht="15.75" customHeight="1" x14ac:dyDescent="0.25">
      <c r="A30" s="33" t="s">
        <v>53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57</v>
      </c>
      <c r="B31" s="11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59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60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61</v>
      </c>
      <c r="B38" s="117"/>
      <c r="C38" s="117"/>
      <c r="D38" s="117"/>
      <c r="E38" s="118"/>
      <c r="F38" s="137" t="str">
        <f>FormSampel!B19</f>
        <v>PERMIT   AMIR   NASOHA</v>
      </c>
      <c r="G38" s="138"/>
      <c r="H38" s="141">
        <f>FormSampel!B20</f>
        <v>45570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62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topLeftCell="A19" zoomScale="112" zoomScaleNormal="100" zoomScalePageLayoutView="112" workbookViewId="0">
      <selection activeCell="F29" sqref="F29:G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FormSampel!F18</f>
        <v>0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 t="str">
        <f>FormSampel!B2</f>
        <v>051124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4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5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6</v>
      </c>
      <c r="B7" s="117"/>
      <c r="C7" s="128" t="s">
        <v>7</v>
      </c>
      <c r="D7" s="117"/>
      <c r="E7" s="117"/>
      <c r="F7" s="42" t="s">
        <v>8</v>
      </c>
      <c r="G7" s="116" t="s">
        <v>9</v>
      </c>
      <c r="H7" s="117"/>
      <c r="I7" s="117"/>
      <c r="J7" s="118"/>
    </row>
    <row r="8" spans="1:26" ht="15" customHeight="1" x14ac:dyDescent="0.25">
      <c r="A8" s="129" t="s">
        <v>10</v>
      </c>
      <c r="B8" s="111"/>
      <c r="C8" s="130" t="s">
        <v>11</v>
      </c>
      <c r="D8" s="111"/>
      <c r="E8" s="4"/>
      <c r="F8" s="38" t="s">
        <v>12</v>
      </c>
      <c r="G8" s="6" t="s">
        <v>13</v>
      </c>
      <c r="H8" s="6" t="s">
        <v>14</v>
      </c>
      <c r="I8" s="119"/>
      <c r="J8" s="120"/>
    </row>
    <row r="9" spans="1:26" ht="30" customHeight="1" x14ac:dyDescent="0.25">
      <c r="A9" s="131" t="s">
        <v>15</v>
      </c>
      <c r="B9" s="111"/>
      <c r="C9" s="130" t="s">
        <v>16</v>
      </c>
      <c r="D9" s="111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9" t="s">
        <v>20</v>
      </c>
      <c r="B10" s="111"/>
      <c r="C10" s="130" t="s">
        <v>21</v>
      </c>
      <c r="D10" s="111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1" t="s">
        <v>25</v>
      </c>
      <c r="B11" s="111"/>
      <c r="C11" s="134" t="s">
        <v>26</v>
      </c>
      <c r="D11" s="111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9" t="s">
        <v>30</v>
      </c>
      <c r="B12" s="111"/>
      <c r="C12" s="130" t="s">
        <v>31</v>
      </c>
      <c r="D12" s="111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9" t="s">
        <v>35</v>
      </c>
      <c r="B13" s="111"/>
      <c r="C13" s="130" t="s">
        <v>36</v>
      </c>
      <c r="D13" s="111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9" t="s">
        <v>40</v>
      </c>
      <c r="B14" s="111"/>
      <c r="C14" s="130" t="s">
        <v>41</v>
      </c>
      <c r="D14" s="111"/>
      <c r="E14" s="7"/>
      <c r="F14" s="132" t="s">
        <v>42</v>
      </c>
      <c r="G14" s="111"/>
      <c r="H14" s="111"/>
      <c r="I14" s="133" t="s">
        <v>43</v>
      </c>
      <c r="J14" s="120"/>
    </row>
    <row r="15" spans="1:26" ht="15" customHeight="1" x14ac:dyDescent="0.25">
      <c r="A15" s="129" t="s">
        <v>44</v>
      </c>
      <c r="B15" s="111"/>
      <c r="C15" s="130" t="s">
        <v>45</v>
      </c>
      <c r="D15" s="111"/>
      <c r="E15" s="7"/>
      <c r="F15" s="43" t="s">
        <v>74</v>
      </c>
      <c r="G15" s="136" t="str">
        <f>FormSampel!B14</f>
        <v>HC 16350373 - 2</v>
      </c>
      <c r="H15" s="136"/>
      <c r="I15" s="91">
        <f>FormSampel!C14</f>
        <v>45808</v>
      </c>
      <c r="J15" s="92"/>
    </row>
    <row r="16" spans="1:26" ht="15" customHeight="1" x14ac:dyDescent="0.25">
      <c r="A16" s="129" t="s">
        <v>46</v>
      </c>
      <c r="B16" s="111"/>
      <c r="C16" s="135" t="s">
        <v>47</v>
      </c>
      <c r="D16" s="111"/>
      <c r="E16" s="111"/>
      <c r="F16" s="44" t="s">
        <v>75</v>
      </c>
      <c r="G16" s="99" t="str">
        <f>FormSampel!B15</f>
        <v>HC 15161426 - 2</v>
      </c>
      <c r="H16" s="99"/>
      <c r="I16" s="91">
        <f>FormSampel!C15</f>
        <v>45716</v>
      </c>
      <c r="J16" s="9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99" t="str">
        <f>FormSampel!B16</f>
        <v>HC 14813176 - 2</v>
      </c>
      <c r="H17" s="99"/>
      <c r="I17" s="91">
        <f>FormSampel!C16</f>
        <v>45688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98" t="str">
        <f>FormSampel!B17</f>
        <v>HC 28942277 - 2</v>
      </c>
      <c r="H18" s="98"/>
      <c r="I18" s="93">
        <f>FormSampel!C17</f>
        <v>46142</v>
      </c>
      <c r="J18" s="94"/>
    </row>
    <row r="19" spans="1:26" x14ac:dyDescent="0.25">
      <c r="A19" s="95" t="s">
        <v>48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49</v>
      </c>
      <c r="B20" s="101"/>
      <c r="C20" s="29">
        <f>FormSampel!G18</f>
        <v>0</v>
      </c>
      <c r="D20" s="30" t="s">
        <v>50</v>
      </c>
      <c r="E20" s="31">
        <v>1000</v>
      </c>
      <c r="F20" s="102" t="s">
        <v>51</v>
      </c>
      <c r="G20" s="101"/>
      <c r="H20" s="103" t="str">
        <f>IF(AND(C21&lt;0.15),"&lt;0.15",C21)</f>
        <v>&lt;0.15</v>
      </c>
      <c r="I20" s="104"/>
      <c r="J20" s="32" t="s">
        <v>52</v>
      </c>
    </row>
    <row r="21" spans="1:26" ht="15.75" customHeight="1" x14ac:dyDescent="0.25">
      <c r="A21" s="33" t="s">
        <v>53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56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49</v>
      </c>
      <c r="B23" s="101"/>
      <c r="C23" s="29">
        <f>FormSampel!H18</f>
        <v>0</v>
      </c>
      <c r="D23" s="30" t="s">
        <v>50</v>
      </c>
      <c r="E23" s="36">
        <v>1000</v>
      </c>
      <c r="F23" s="102" t="s">
        <v>51</v>
      </c>
      <c r="G23" s="101"/>
      <c r="H23" s="103" t="str">
        <f>IF(C24&lt;0.15,"&lt;0.15",C24)</f>
        <v>&lt;0.15</v>
      </c>
      <c r="I23" s="104"/>
      <c r="J23" s="32" t="s">
        <v>52</v>
      </c>
    </row>
    <row r="24" spans="1:26" ht="15.75" customHeight="1" x14ac:dyDescent="0.25">
      <c r="A24" s="33" t="s">
        <v>53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54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49</v>
      </c>
      <c r="B26" s="111"/>
      <c r="C26" s="29">
        <f>FormSampel!I18</f>
        <v>0</v>
      </c>
      <c r="D26" s="30" t="s">
        <v>50</v>
      </c>
      <c r="E26" s="36">
        <v>1000</v>
      </c>
      <c r="F26" s="112" t="s">
        <v>51</v>
      </c>
      <c r="G26" s="101"/>
      <c r="H26" s="103" t="str">
        <f>IF(AND(C27&lt;0.15),"&lt;0.15",C27)</f>
        <v>&lt;0.15</v>
      </c>
      <c r="I26" s="104"/>
      <c r="J26" s="37" t="s">
        <v>52</v>
      </c>
    </row>
    <row r="27" spans="1:26" ht="15.75" customHeight="1" x14ac:dyDescent="0.25">
      <c r="A27" s="33" t="s">
        <v>53</v>
      </c>
      <c r="B27" s="34"/>
      <c r="C27" s="113">
        <f>C26/1000</f>
        <v>0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55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49</v>
      </c>
      <c r="B29" s="111"/>
      <c r="C29" s="29">
        <f>FormSampel!J18</f>
        <v>0</v>
      </c>
      <c r="D29" s="30" t="s">
        <v>50</v>
      </c>
      <c r="E29" s="36">
        <v>1000</v>
      </c>
      <c r="F29" s="115" t="s">
        <v>51</v>
      </c>
      <c r="G29" s="111"/>
      <c r="H29" s="103" t="str">
        <f>IF(AND(C30&lt;0.15),"&lt;0.15",C30)</f>
        <v>&lt;0.15</v>
      </c>
      <c r="I29" s="104"/>
      <c r="J29" s="32" t="s">
        <v>52</v>
      </c>
    </row>
    <row r="30" spans="1:26" ht="15.75" customHeight="1" x14ac:dyDescent="0.25">
      <c r="A30" s="33" t="s">
        <v>53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57</v>
      </c>
      <c r="B31" s="11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59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60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61</v>
      </c>
      <c r="B38" s="117"/>
      <c r="C38" s="117"/>
      <c r="D38" s="117"/>
      <c r="E38" s="118"/>
      <c r="F38" s="137" t="str">
        <f>FormSampel!B19</f>
        <v>PERMIT   AMIR   NASOHA</v>
      </c>
      <c r="G38" s="138"/>
      <c r="H38" s="141">
        <f>FormSampel!B20</f>
        <v>45570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62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2024-11-08T07:23:08Z</cp:lastPrinted>
  <dcterms:created xsi:type="dcterms:W3CDTF">2006-09-16T00:00:00Z</dcterms:created>
  <dcterms:modified xsi:type="dcterms:W3CDTF">2024-11-08T07:46:12Z</dcterms:modified>
</cp:coreProperties>
</file>