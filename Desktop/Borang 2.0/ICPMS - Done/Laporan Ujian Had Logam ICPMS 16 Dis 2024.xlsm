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2.0\ICPMS - Done\"/>
    </mc:Choice>
  </mc:AlternateContent>
  <xr:revisionPtr revIDLastSave="0" documentId="13_ncr:1_{82DC7ACF-DD26-44E9-8768-72BD1CA0DAA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<sst xmlns="http://schemas.openxmlformats.org/spreadsheetml/2006/main" count="1267" uniqueCount="93">
  <si>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</si>
  <si>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</si>
  <si>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</si>
  <si>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</si>
  <si>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</si>
  <si>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</si>
  <si>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</si>
  <si>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</si>
  <si>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</si>
  <si>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</si>
  <si>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</si>
  <si>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</si>
  <si>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</si>
  <si>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</si>
  <si>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</si>
  <si>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</si>
  <si>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</si>
  <si>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</si>
  <si>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</si>
  <si>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</si>
  <si>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</si>
  <si>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</si>
  <si>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</si>
  <si>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</si>
  <si>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</si>
  <si>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</si>
  <si>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</si>
  <si>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</si>
  <si>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</si>
  <si>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</si>
  <si>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</si>
  <si>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</si>
  <si>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</si>
  <si>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</si>
  <si>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</si>
  <si>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</si>
  <si>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</si>
  <si>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</si>
  <si>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</si>
  <si>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</si>
  <si>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</si>
  <si>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</si>
  <si>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</si>
  <si>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</si>
  <si>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</si>
  <si>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</si>
  <si>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</si>
  <si>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</si>
  <si>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</si>
  <si>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</si>
  <si>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</si>
  <si>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</si>
  <si>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</si>
  <si>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</si>
  <si>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</si>
  <si>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</si>
  <si>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</si>
  <si>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</si>
  <si>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</si>
  <si>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</si>
  <si>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</si>
  <si>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</si>
  <si>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</si>
  <si>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</si>
  <si>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</si>
  <si>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</si>
  <si>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</si>
  <si>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</si>
  <si>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</si>
  <si>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</si>
  <si>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</si>
  <si>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</si>
  <si>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</si>
  <si>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</si>
  <si>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</si>
  <si>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</si>
  <si>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</si>
  <si>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</si>
  <si>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</si>
  <si>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</si>
  <si>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</si>
  <si>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</si>
  <si>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</si>
  <si>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</si>
  <si>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</si>
  <si>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</si>
  <si>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</si>
  <si>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Sila Pilih</t>
  </si>
  <si>
    <t>TATACARA UJIAN: PKKK/200/UAT/003</t>
  </si>
  <si>
    <t>HC 20925173 - 1</t>
  </si>
  <si>
    <t>HC 28845526 - 1</t>
  </si>
  <si>
    <t>HC 33253877 - 1</t>
  </si>
  <si>
    <t>HC 28959376 - 1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</si>
</sst>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7" fillId="0" borderId="0" xfId="0" applyFont="1"/>
    <xf numFmtId="0" fontId="5" fillId="0" borderId="0" xfId="0" applyFont="1" applyAlignment="1">
      <alignment vertical="center" wrapText="1"/>
    </xf>
    <xf numFmtId="0" fontId="5" fillId="0" borderId="7" xfId="0" applyFont="1" applyBorder="1" applyAlignment="1">
      <alignment vertical="center" wrapText="1"/>
    </xf>
    <xf numFmtId="1" fontId="7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wrapText="1"/>
    </xf>
    <xf numFmtId="1" fontId="9" fillId="0" borderId="8" xfId="0" applyNumberFormat="1" applyFont="1" applyBorder="1" applyAlignment="1">
      <alignment vertical="top" wrapText="1"/>
    </xf>
    <xf numFmtId="0" fontId="8" fillId="0" borderId="0" xfId="0" applyFont="1" applyAlignment="1">
      <alignment wrapText="1"/>
    </xf>
    <xf numFmtId="0" fontId="8" fillId="0" borderId="8" xfId="0" applyFont="1" applyBorder="1" applyAlignment="1">
      <alignment wrapText="1"/>
    </xf>
    <xf numFmtId="0" fontId="7" fillId="0" borderId="0" xfId="0" applyFont="1" applyAlignment="1">
      <alignment horizontal="left" vertical="center" wrapText="1"/>
    </xf>
    <xf numFmtId="0" fontId="5" fillId="0" borderId="7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0" borderId="8" xfId="0" applyFont="1" applyBorder="1"/>
    <xf numFmtId="0" fontId="7" fillId="0" borderId="5" xfId="0" applyFont="1" applyBorder="1" applyAlignment="1">
      <alignment wrapText="1"/>
    </xf>
    <xf numFmtId="0" fontId="5" fillId="0" borderId="4" xfId="0" applyFont="1" applyBorder="1" applyAlignment="1">
      <alignment wrapText="1"/>
    </xf>
    <xf numFmtId="0" fontId="7" fillId="0" borderId="6" xfId="0" applyFont="1" applyBorder="1" applyAlignment="1">
      <alignment wrapText="1"/>
    </xf>
    <xf numFmtId="0" fontId="7" fillId="0" borderId="7" xfId="0" applyFont="1" applyBorder="1" applyAlignment="1">
      <alignment vertical="center" wrapText="1"/>
    </xf>
    <xf numFmtId="0" fontId="7" fillId="0" borderId="0" xfId="0" applyFont="1" applyAlignment="1">
      <alignment horizontal="center" vertical="top" wrapText="1"/>
    </xf>
    <xf numFmtId="0" fontId="7" fillId="0" borderId="7" xfId="0" applyFont="1" applyBorder="1" applyAlignment="1">
      <alignment wrapText="1"/>
    </xf>
    <xf numFmtId="0" fontId="7" fillId="0" borderId="5" xfId="0" applyFont="1" applyBorder="1"/>
    <xf numFmtId="0" fontId="7" fillId="0" borderId="11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4" xfId="0" applyFont="1" applyBorder="1"/>
    <xf numFmtId="0" fontId="7" fillId="0" borderId="0" xfId="0" applyFont="1" applyAlignment="1">
      <alignment wrapText="1"/>
    </xf>
    <xf numFmtId="164" fontId="10" fillId="4" borderId="0" xfId="0" applyNumberFormat="1" applyFont="1" applyFill="1"/>
    <xf numFmtId="164" fontId="10" fillId="0" borderId="0" xfId="0" applyNumberFormat="1" applyFont="1" applyAlignment="1">
      <alignment horizontal="center"/>
    </xf>
    <xf numFmtId="1" fontId="10" fillId="0" borderId="8" xfId="0" applyNumberFormat="1" applyFont="1" applyBorder="1" applyAlignment="1">
      <alignment horizontal="center"/>
    </xf>
    <xf numFmtId="0" fontId="10" fillId="0" borderId="8" xfId="0" applyFont="1" applyBorder="1"/>
    <xf numFmtId="0" fontId="10" fillId="0" borderId="7" xfId="0" applyFont="1" applyBorder="1" applyAlignment="1">
      <alignment horizontal="right" wrapText="1"/>
    </xf>
    <xf numFmtId="0" fontId="10" fillId="0" borderId="0" xfId="0" applyFont="1"/>
    <xf numFmtId="166" fontId="14" fillId="0" borderId="8" xfId="0" applyNumberFormat="1" applyFont="1" applyBorder="1"/>
    <xf numFmtId="1" fontId="10" fillId="0" borderId="8" xfId="0" applyNumberFormat="1" applyFont="1" applyBorder="1" applyAlignment="1">
      <alignment horizontal="center" vertical="center"/>
    </xf>
    <xf numFmtId="0" fontId="10" fillId="0" borderId="6" xfId="0" applyFont="1" applyBorder="1"/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1" fontId="10" fillId="0" borderId="0" xfId="0" applyNumberFormat="1" applyFont="1" applyAlignment="1">
      <alignment horizontal="center" wrapText="1"/>
    </xf>
    <xf numFmtId="1" fontId="10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4" fillId="0" borderId="22" xfId="0" applyFont="1" applyBorder="1" applyAlignment="1">
      <alignment horizontal="left"/>
    </xf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4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4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6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2" fillId="0" borderId="30" xfId="0" applyFont="1" applyBorder="1" applyAlignment="1"/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5" fillId="8" borderId="20" xfId="0" applyFont="1" applyFill="1" applyBorder="1" applyAlignment="1"/>
    <xf numFmtId="0" fontId="15" fillId="8" borderId="19" xfId="0" applyFont="1" applyFill="1" applyBorder="1" applyAlignment="1">
      <alignment horizontal="left"/>
    </xf>
    <xf numFmtId="0" fontId="4" fillId="4" borderId="14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4" fillId="0" borderId="21" xfId="0" applyFont="1" applyBorder="1" applyAlignment="1"/>
    <xf numFmtId="0" fontId="0" fillId="0" borderId="38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30" xfId="0" applyFont="1" applyFill="1" applyBorder="1" applyAlignment="1">
      <alignment horizontal="center" vertical="center"/>
    </xf>
    <xf numFmtId="0" fontId="15" fillId="8" borderId="35" xfId="0" applyFont="1" applyFill="1" applyBorder="1" applyAlignment="1">
      <alignment horizontal="center" vertical="center"/>
    </xf>
    <xf numFmtId="0" fontId="15" fillId="8" borderId="24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/>
    </xf>
    <xf numFmtId="167" fontId="11" fillId="0" borderId="0" xfId="0" applyNumberFormat="1" applyFont="1" applyAlignment="1">
      <alignment horizontal="center" wrapText="1"/>
    </xf>
    <xf numFmtId="167" fontId="11" fillId="0" borderId="8" xfId="0" applyNumberFormat="1" applyFont="1" applyBorder="1" applyAlignment="1">
      <alignment horizontal="center" wrapText="1"/>
    </xf>
    <xf numFmtId="167" fontId="11" fillId="0" borderId="9" xfId="0" applyNumberFormat="1" applyFont="1" applyBorder="1" applyAlignment="1">
      <alignment horizontal="center" wrapText="1"/>
    </xf>
    <xf numFmtId="167" fontId="11" fillId="0" borderId="10" xfId="0" applyNumberFormat="1" applyFont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1" fillId="0" borderId="4" xfId="0" applyFont="1" applyBorder="1" applyAlignment="1">
      <alignment horizontal="center" vertical="top" wrapText="1"/>
    </xf>
    <xf numFmtId="0" fontId="12" fillId="0" borderId="5" xfId="0" applyFont="1" applyBorder="1"/>
    <xf numFmtId="0" fontId="10" fillId="0" borderId="4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/>
    </xf>
    <xf numFmtId="0" fontId="12" fillId="0" borderId="2" xfId="0" applyFont="1" applyBorder="1"/>
    <xf numFmtId="165" fontId="13" fillId="0" borderId="1" xfId="0" applyNumberFormat="1" applyFont="1" applyBorder="1" applyAlignment="1">
      <alignment horizontal="center"/>
    </xf>
    <xf numFmtId="0" fontId="12" fillId="0" borderId="3" xfId="0" applyFont="1" applyBorder="1"/>
    <xf numFmtId="0" fontId="13" fillId="3" borderId="1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1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10" fillId="0" borderId="5" xfId="0" applyFont="1" applyBorder="1" applyAlignment="1">
      <alignment horizontal="center"/>
    </xf>
    <xf numFmtId="165" fontId="13" fillId="0" borderId="4" xfId="0" applyNumberFormat="1" applyFont="1" applyBorder="1" applyAlignment="1">
      <alignment horizontal="center"/>
    </xf>
    <xf numFmtId="0" fontId="12" fillId="0" borderId="6" xfId="0" applyFont="1" applyBorder="1"/>
    <xf numFmtId="0" fontId="10" fillId="0" borderId="0" xfId="0" applyFont="1" applyAlignment="1">
      <alignment horizontal="center"/>
    </xf>
    <xf numFmtId="0" fontId="7" fillId="0" borderId="5" xfId="0" applyFont="1" applyBorder="1" applyAlignment="1">
      <alignment horizontal="left" vertical="center" wrapText="1"/>
    </xf>
    <xf numFmtId="0" fontId="6" fillId="0" borderId="5" xfId="0" applyFont="1" applyBorder="1"/>
    <xf numFmtId="0" fontId="6" fillId="0" borderId="6" xfId="0" applyFont="1" applyBorder="1"/>
    <xf numFmtId="1" fontId="8" fillId="0" borderId="0" xfId="0" applyNumberFormat="1" applyFont="1" applyAlignment="1">
      <alignment horizontal="center" wrapText="1"/>
    </xf>
    <xf numFmtId="0" fontId="6" fillId="0" borderId="8" xfId="0" applyFont="1" applyBorder="1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1" xfId="0" applyFont="1" applyBorder="1" applyAlignment="1">
      <alignment horizontal="left" wrapText="1"/>
    </xf>
    <xf numFmtId="1" fontId="7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13" fillId="0" borderId="4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13" fillId="0" borderId="7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8" fillId="0" borderId="0" xfId="0" applyFont="1" applyAlignment="1">
      <alignment horizontal="left" wrapText="1"/>
    </xf>
    <xf numFmtId="0" fontId="10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 shrinkToFit="1"/>
    </xf>
    <xf numFmtId="49" fontId="7" fillId="0" borderId="5" xfId="0" applyNumberFormat="1" applyFont="1" applyBorder="1" applyAlignment="1">
      <alignment horizontal="center" vertical="center" shrinkToFit="1"/>
    </xf>
    <xf numFmtId="49" fontId="7" fillId="0" borderId="11" xfId="0" applyNumberFormat="1" applyFont="1" applyBorder="1" applyAlignment="1">
      <alignment horizontal="center" vertical="center" shrinkToFit="1"/>
    </xf>
    <xf numFmtId="49" fontId="7" fillId="0" borderId="9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/>
    </xf>
    <xf numFmtId="167" fontId="7" fillId="0" borderId="6" xfId="0" applyNumberFormat="1" applyFont="1" applyBorder="1" applyAlignment="1">
      <alignment horizontal="center" vertical="center"/>
    </xf>
    <xf numFmtId="167" fontId="7" fillId="0" borderId="9" xfId="0" applyNumberFormat="1" applyFont="1" applyBorder="1" applyAlignment="1">
      <alignment horizontal="center" vertical="center"/>
    </xf>
    <xf numFmtId="167" fontId="7" fillId="0" borderId="10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6" fillId="0" borderId="11" xfId="0" applyFont="1" applyBorder="1"/>
    <xf numFmtId="0" fontId="6" fillId="0" borderId="9" xfId="0" applyFont="1" applyBorder="1"/>
    <xf numFmtId="0" fontId="5" fillId="0" borderId="4" xfId="0" applyFont="1" applyBorder="1" applyAlignment="1">
      <alignment horizontal="left" wrapText="1"/>
    </xf>
    <xf numFmtId="0" fontId="5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10" xfId="0" applyFont="1" applyBorder="1"/>
    <xf numFmtId="49" fontId="1" fillId="0" borderId="32" xfId="0" applyNumberFormat="1" applyFont="1" applyBorder="1" applyAlignment="1"/>
    <xf numFmtId="0" fontId="1" fillId="0" borderId="12" xfId="0" applyFont="1" applyBorder="1" applyAlignment="1"/>
    <xf numFmtId="0" fontId="1" fillId="0" borderId="17" xfId="0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workbookViewId="0">
      <selection activeCell="B16" sqref="B16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1" customWidth="1"/>
    <col min="5" max="5" width="4" customWidth="1"/>
    <col min="6" max="6" width="24" style="62" customWidth="1"/>
    <col min="7" max="10" width="9.140625" style="66"/>
  </cols>
  <sheetData>
    <row r="1" spans="1:11" ht="15.75" customHeight="1" thickBot="1" x14ac:dyDescent="0.3"/>
    <row r="2" spans="1:11" ht="15.75" customHeight="1" x14ac:dyDescent="0.25">
      <c r="A2" s="73" t="s">
        <v>3</v>
      </c>
      <c r="B2" s="152"/>
      <c r="E2" s="82" t="s">
        <v>84</v>
      </c>
      <c r="F2" s="82" t="s">
        <v>85</v>
      </c>
      <c r="G2" s="81" t="s">
        <v>86</v>
      </c>
      <c r="H2" s="81"/>
      <c r="I2" s="81"/>
      <c r="J2" s="81"/>
    </row>
    <row r="3" spans="1:11" ht="15" customHeight="1" x14ac:dyDescent="0.25">
      <c r="A3" s="90" t="s">
        <v>62</v>
      </c>
      <c r="B3" s="90"/>
      <c r="E3" s="82"/>
      <c r="F3" s="83"/>
      <c r="G3" s="67" t="s">
        <v>70</v>
      </c>
      <c r="H3" s="68" t="s">
        <v>78</v>
      </c>
      <c r="I3" s="69" t="s">
        <v>13</v>
      </c>
      <c r="J3" s="70" t="s">
        <v>71</v>
      </c>
    </row>
    <row r="4" spans="1:11" ht="15.75" customHeight="1" x14ac:dyDescent="0.25">
      <c r="A4" s="57" t="s">
        <v>63</v>
      </c>
      <c r="B4" s="46" t="s">
        <v>87</v>
      </c>
      <c r="E4" s="63">
        <v>1</v>
      </c>
      <c r="F4" s="65"/>
      <c r="G4" s="71"/>
      <c r="H4" s="71"/>
      <c r="I4" s="71"/>
      <c r="J4" s="71"/>
      <c r="K4" s="61"/>
    </row>
    <row r="5" spans="1:11" x14ac:dyDescent="0.25">
      <c r="A5" s="79" t="s">
        <v>64</v>
      </c>
      <c r="B5" s="80" t="s">
        <v>87</v>
      </c>
      <c r="E5" s="63">
        <v>2</v>
      </c>
      <c r="F5" s="65"/>
      <c r="G5" s="71"/>
      <c r="H5" s="71"/>
      <c r="I5" s="71"/>
      <c r="J5" s="71"/>
      <c r="K5" s="61"/>
    </row>
    <row r="6" spans="1:11" x14ac:dyDescent="0.25">
      <c r="A6" s="90" t="s">
        <v>65</v>
      </c>
      <c r="B6" s="90"/>
      <c r="E6" s="63">
        <v>3</v>
      </c>
      <c r="F6" s="65"/>
      <c r="G6" s="71"/>
      <c r="H6" s="71"/>
      <c r="I6" s="71"/>
      <c r="J6" s="71"/>
      <c r="K6" s="61"/>
    </row>
    <row r="7" spans="1:11" x14ac:dyDescent="0.25">
      <c r="A7" s="57" t="s">
        <v>66</v>
      </c>
      <c r="B7" s="58" t="s">
        <v>87</v>
      </c>
      <c r="E7" s="63">
        <v>4</v>
      </c>
      <c r="F7" s="65"/>
      <c r="G7" s="71"/>
      <c r="H7" s="71"/>
      <c r="I7" s="71"/>
      <c r="J7" s="71"/>
      <c r="K7" s="61"/>
    </row>
    <row r="8" spans="1:11" x14ac:dyDescent="0.25">
      <c r="A8" s="79" t="s">
        <v>82</v>
      </c>
      <c r="B8" s="80" t="s">
        <v>87</v>
      </c>
      <c r="E8" s="63">
        <v>5</v>
      </c>
      <c r="F8" s="65"/>
      <c r="G8" s="71"/>
      <c r="H8" s="71"/>
      <c r="I8" s="71"/>
      <c r="J8" s="71"/>
      <c r="K8" s="61"/>
    </row>
    <row r="9" spans="1:11" x14ac:dyDescent="0.25">
      <c r="A9" s="90" t="s">
        <v>67</v>
      </c>
      <c r="B9" s="90"/>
      <c r="E9" s="63">
        <v>6</v>
      </c>
      <c r="F9" s="65"/>
      <c r="G9" s="71"/>
      <c r="H9" s="71"/>
      <c r="I9" s="71"/>
      <c r="J9" s="71"/>
      <c r="K9" s="61"/>
    </row>
    <row r="10" spans="1:11" x14ac:dyDescent="0.25">
      <c r="A10" s="57" t="s">
        <v>68</v>
      </c>
      <c r="B10" s="58" t="s">
        <v>87</v>
      </c>
      <c r="E10" s="63">
        <v>7</v>
      </c>
      <c r="F10" s="65"/>
      <c r="G10" s="71"/>
      <c r="H10" s="71"/>
      <c r="I10" s="71"/>
      <c r="J10" s="71"/>
      <c r="K10" s="61"/>
    </row>
    <row r="11" spans="1:11" ht="15.75" customHeight="1" thickBot="1" x14ac:dyDescent="0.3">
      <c r="A11" s="48" t="s">
        <v>69</v>
      </c>
      <c r="B11" s="59" t="s">
        <v>87</v>
      </c>
      <c r="E11" s="63">
        <v>8</v>
      </c>
      <c r="F11" s="65"/>
      <c r="G11" s="71"/>
      <c r="H11" s="71"/>
      <c r="I11" s="71"/>
      <c r="J11" s="71"/>
      <c r="K11" s="61"/>
    </row>
    <row r="12" spans="1:11" ht="15" customHeight="1" x14ac:dyDescent="0.25">
      <c r="A12" s="84" t="s">
        <v>41</v>
      </c>
      <c r="B12" s="86" t="s">
        <v>76</v>
      </c>
      <c r="C12" s="88" t="s">
        <v>77</v>
      </c>
      <c r="E12" s="63">
        <v>9</v>
      </c>
      <c r="F12" s="65"/>
      <c r="G12" s="71"/>
      <c r="H12" s="71"/>
      <c r="I12" s="71"/>
      <c r="J12" s="71"/>
      <c r="K12" s="61"/>
    </row>
    <row r="13" spans="1:11" s="39" customFormat="1" ht="15" customHeight="1" x14ac:dyDescent="0.25">
      <c r="A13" s="85"/>
      <c r="B13" s="87"/>
      <c r="C13" s="89"/>
      <c r="D13" s="61"/>
      <c r="E13" s="63">
        <v>10</v>
      </c>
      <c r="F13" s="65"/>
      <c r="G13" s="71"/>
      <c r="H13" s="71"/>
      <c r="I13" s="71"/>
      <c r="J13" s="71"/>
      <c r="K13" s="61"/>
    </row>
    <row r="14" spans="1:11" ht="15.75" customHeight="1" x14ac:dyDescent="0.25">
      <c r="A14" s="75" t="s">
        <v>70</v>
      </c>
      <c r="B14" s="153" t="s">
        <v>89</v>
      </c>
      <c r="C14" s="50">
        <v>46356</v>
      </c>
      <c r="E14" s="63">
        <v>11</v>
      </c>
      <c r="F14" s="65"/>
      <c r="G14" s="71"/>
      <c r="H14" s="71"/>
      <c r="I14" s="71"/>
      <c r="J14" s="71"/>
      <c r="K14" s="61"/>
    </row>
    <row r="15" spans="1:11" x14ac:dyDescent="0.25">
      <c r="A15" s="76" t="s">
        <v>13</v>
      </c>
      <c r="B15" s="153" t="s">
        <v>90</v>
      </c>
      <c r="C15" s="50">
        <v>46173</v>
      </c>
      <c r="E15" s="63">
        <v>12</v>
      </c>
      <c r="F15" s="65"/>
      <c r="G15" s="71"/>
      <c r="H15" s="71"/>
      <c r="I15" s="71"/>
      <c r="J15" s="71"/>
    </row>
    <row r="16" spans="1:11" ht="15" customHeight="1" x14ac:dyDescent="0.25">
      <c r="A16" s="77" t="s">
        <v>71</v>
      </c>
      <c r="B16" s="153" t="s">
        <v>92</v>
      </c>
      <c r="C16" s="50">
        <v>46203</v>
      </c>
      <c r="E16" s="63">
        <v>13</v>
      </c>
      <c r="F16" s="65"/>
      <c r="G16" s="71"/>
      <c r="H16" s="71"/>
      <c r="I16" s="71"/>
      <c r="J16" s="71"/>
    </row>
    <row r="17" spans="1:10" ht="15.75" customHeight="1" thickBot="1" x14ac:dyDescent="0.3">
      <c r="A17" s="78" t="s">
        <v>83</v>
      </c>
      <c r="B17" s="154" t="s">
        <v>91</v>
      </c>
      <c r="C17" s="51">
        <v>46691</v>
      </c>
      <c r="E17" s="63">
        <v>14</v>
      </c>
      <c r="F17" s="65"/>
      <c r="G17" s="71"/>
      <c r="H17" s="71"/>
      <c r="I17" s="71"/>
      <c r="J17" s="71"/>
    </row>
    <row r="18" spans="1:10" ht="15" customHeight="1" x14ac:dyDescent="0.25">
      <c r="A18" s="74" t="s">
        <v>79</v>
      </c>
      <c r="B18" s="52"/>
      <c r="C18" s="53"/>
      <c r="E18" s="63">
        <v>15</v>
      </c>
      <c r="F18" s="65"/>
      <c r="G18" s="71"/>
      <c r="H18" s="71"/>
      <c r="I18" s="71"/>
      <c r="J18" s="71"/>
    </row>
    <row r="19" spans="1:10" ht="15.75" customHeight="1" x14ac:dyDescent="0.25">
      <c r="A19" s="54" t="s">
        <v>80</v>
      </c>
      <c r="B19" s="64"/>
      <c r="C19" s="55"/>
    </row>
    <row r="20" spans="1:10" ht="15.75" thickBot="1" x14ac:dyDescent="0.3">
      <c r="A20" s="49" t="s">
        <v>81</v>
      </c>
      <c r="B20" s="56">
        <v>45432</v>
      </c>
      <c r="C20" s="47"/>
    </row>
    <row r="21" spans="1:10" ht="15" customHeight="1" x14ac:dyDescent="0.25"/>
    <row r="22" spans="1:10" ht="15" customHeight="1" x14ac:dyDescent="0.25">
      <c r="B22" s="72"/>
    </row>
    <row r="23" spans="1:10" ht="15" customHeight="1" x14ac:dyDescent="0.25">
      <c r="B23" s="72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FormSampel!F4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5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FormSampel!G4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FormSampel!H4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FormSampel!I4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FormSampel!J4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6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FormSampel!F5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FormSampel!G5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FormSampel!H5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FormSampel!I5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FormSampel!J5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FormSampel!F6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FormSampel!G6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FormSampel!H6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FormSampel!I6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FormSampel!J6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FormSampel!F7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FormSampel!G7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FormSampel!H7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FormSampel!I7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FormSampel!J7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FormSampel!F8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FormSampel!G8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FormSampel!H8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FormSampel!I8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FormSampel!J8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FormSampel!F9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FormSampel!G9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FormSampel!H9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FormSampel!I9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FormSampel!J9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FormSampel!F10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FormSampel!G10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FormSampel!H10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FormSampel!I10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FormSampel!J10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FormSampel!F11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FormSampel!G11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FormSampel!H11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FormSampel!I11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FormSampel!J11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FormSampel!F12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FormSampel!G12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FormSampel!H12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FormSampel!I12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FormSampel!J12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FormSampel!F13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FormSampel!G13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FormSampel!H13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FormSampel!I13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FormSampel!J13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FormSampel!F14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FormSampel!G14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FormSampel!H14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FormSampel!I14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FormSampel!J14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FormSampel!F15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FormSampel!G15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FormSampel!H15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FormSampel!I15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FormSampel!J15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FormSampel!F16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FormSampel!G16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FormSampel!H16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FormSampel!I16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FormSampel!J16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FormSampel!F17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FormSampel!G17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FormSampel!H17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FormSampel!I17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FormSampel!J17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1" t="s">
        <v>0</v>
      </c>
      <c r="B1" s="122"/>
      <c r="C1" s="122"/>
      <c r="D1" s="122"/>
      <c r="E1" s="122"/>
      <c r="F1" s="122"/>
      <c r="G1" s="122"/>
      <c r="H1" s="122"/>
      <c r="I1" s="122"/>
      <c r="J1" s="123"/>
    </row>
    <row r="2" spans="1:26" x14ac:dyDescent="0.25">
      <c r="A2" s="121" t="s">
        <v>1</v>
      </c>
      <c r="B2" s="122"/>
      <c r="C2" s="122"/>
      <c r="D2" s="122"/>
      <c r="E2" s="122"/>
      <c r="F2" s="122"/>
      <c r="G2" s="122"/>
      <c r="H2" s="122"/>
      <c r="I2" s="122"/>
      <c r="J2" s="123"/>
    </row>
    <row r="3" spans="1:26" x14ac:dyDescent="0.25">
      <c r="A3" s="124" t="s">
        <v>2</v>
      </c>
      <c r="B3" s="122"/>
      <c r="C3" s="123"/>
      <c r="D3" s="125">
        <f>FormSampel!F18</f>
        <v>0</v>
      </c>
      <c r="E3" s="122"/>
      <c r="F3" s="122"/>
      <c r="G3" s="122"/>
      <c r="H3" s="122"/>
      <c r="I3" s="122"/>
      <c r="J3" s="123"/>
    </row>
    <row r="4" spans="1:26" x14ac:dyDescent="0.25">
      <c r="A4" s="124" t="s">
        <v>3</v>
      </c>
      <c r="B4" s="122"/>
      <c r="C4" s="123"/>
      <c r="D4" s="125">
        <f>FormSampel!B2</f>
        <v>0</v>
      </c>
      <c r="E4" s="122"/>
      <c r="F4" s="122"/>
      <c r="G4" s="122"/>
      <c r="H4" s="122"/>
      <c r="I4" s="122"/>
      <c r="J4" s="123"/>
    </row>
    <row r="5" spans="1:26" ht="15" customHeight="1" x14ac:dyDescent="0.25">
      <c r="A5" s="126" t="s">
        <v>88</v>
      </c>
      <c r="B5" s="122"/>
      <c r="C5" s="122"/>
      <c r="D5" s="122"/>
      <c r="E5" s="122"/>
      <c r="F5" s="122"/>
      <c r="G5" s="122"/>
      <c r="H5" s="122"/>
      <c r="I5" s="122"/>
      <c r="J5" s="12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6" t="s">
        <v>4</v>
      </c>
      <c r="B6" s="122"/>
      <c r="C6" s="122"/>
      <c r="D6" s="122"/>
      <c r="E6" s="122"/>
      <c r="F6" s="122"/>
      <c r="G6" s="122"/>
      <c r="H6" s="122"/>
      <c r="I6" s="122"/>
      <c r="J6" s="123"/>
    </row>
    <row r="7" spans="1:26" ht="30" customHeight="1" x14ac:dyDescent="0.25">
      <c r="A7" s="127" t="s">
        <v>5</v>
      </c>
      <c r="B7" s="117"/>
      <c r="C7" s="128" t="s">
        <v>6</v>
      </c>
      <c r="D7" s="117"/>
      <c r="E7" s="117"/>
      <c r="F7" s="42" t="s">
        <v>7</v>
      </c>
      <c r="G7" s="116" t="s">
        <v>8</v>
      </c>
      <c r="H7" s="117"/>
      <c r="I7" s="117"/>
      <c r="J7" s="118"/>
    </row>
    <row r="8" spans="1:26" ht="15" customHeight="1" x14ac:dyDescent="0.25">
      <c r="A8" s="129" t="s">
        <v>9</v>
      </c>
      <c r="B8" s="111"/>
      <c r="C8" s="130" t="s">
        <v>10</v>
      </c>
      <c r="D8" s="111"/>
      <c r="E8" s="4"/>
      <c r="F8" s="38" t="s">
        <v>11</v>
      </c>
      <c r="G8" s="6" t="s">
        <v>12</v>
      </c>
      <c r="H8" s="6" t="s">
        <v>13</v>
      </c>
      <c r="I8" s="119"/>
      <c r="J8" s="120"/>
    </row>
    <row r="9" spans="1:26" ht="30" customHeight="1" x14ac:dyDescent="0.25">
      <c r="A9" s="131" t="s">
        <v>14</v>
      </c>
      <c r="B9" s="111"/>
      <c r="C9" s="130" t="s">
        <v>15</v>
      </c>
      <c r="D9" s="111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29" t="s">
        <v>19</v>
      </c>
      <c r="B10" s="111"/>
      <c r="C10" s="130" t="s">
        <v>20</v>
      </c>
      <c r="D10" s="111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1" t="s">
        <v>24</v>
      </c>
      <c r="B11" s="111"/>
      <c r="C11" s="134" t="s">
        <v>25</v>
      </c>
      <c r="D11" s="111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29" t="s">
        <v>29</v>
      </c>
      <c r="B12" s="111"/>
      <c r="C12" s="130" t="s">
        <v>30</v>
      </c>
      <c r="D12" s="111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29" t="s">
        <v>34</v>
      </c>
      <c r="B13" s="111"/>
      <c r="C13" s="130" t="s">
        <v>35</v>
      </c>
      <c r="D13" s="111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29" t="s">
        <v>39</v>
      </c>
      <c r="B14" s="111"/>
      <c r="C14" s="130" t="s">
        <v>40</v>
      </c>
      <c r="D14" s="111"/>
      <c r="E14" s="7"/>
      <c r="F14" s="132" t="s">
        <v>41</v>
      </c>
      <c r="G14" s="111"/>
      <c r="H14" s="111"/>
      <c r="I14" s="133" t="s">
        <v>42</v>
      </c>
      <c r="J14" s="120"/>
    </row>
    <row r="15" spans="1:26" ht="15" customHeight="1" x14ac:dyDescent="0.25">
      <c r="A15" s="129" t="s">
        <v>43</v>
      </c>
      <c r="B15" s="111"/>
      <c r="C15" s="130" t="s">
        <v>44</v>
      </c>
      <c r="D15" s="111"/>
      <c r="E15" s="7"/>
      <c r="F15" s="43" t="s">
        <v>72</v>
      </c>
      <c r="G15" s="136" t="str">
        <f>FormSampel!B14</f>
        <v>HC 20925173 - 1</v>
      </c>
      <c r="H15" s="136"/>
      <c r="I15" s="91">
        <f>FormSampel!C14</f>
        <v>46356</v>
      </c>
      <c r="J15" s="92"/>
    </row>
    <row r="16" spans="1:26" ht="15" customHeight="1" x14ac:dyDescent="0.25">
      <c r="A16" s="129" t="s">
        <v>45</v>
      </c>
      <c r="B16" s="111"/>
      <c r="C16" s="135" t="s">
        <v>46</v>
      </c>
      <c r="D16" s="111"/>
      <c r="E16" s="111"/>
      <c r="F16" s="44" t="s">
        <v>73</v>
      </c>
      <c r="G16" s="99" t="str">
        <f>FormSampel!B15</f>
        <v>HC 28845526 - 1</v>
      </c>
      <c r="H16" s="99"/>
      <c r="I16" s="91">
        <f>FormSampel!C15</f>
        <v>46173</v>
      </c>
      <c r="J16" s="92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99" t="str">
        <f>FormSampel!B16</f>
        <v>HC 28959376 - 1</v>
      </c>
      <c r="H17" s="99"/>
      <c r="I17" s="91">
        <f>FormSampel!C16</f>
        <v>46203</v>
      </c>
      <c r="J17" s="9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8" t="str">
        <f>FormSampel!B17</f>
        <v>HC 33253877 - 1</v>
      </c>
      <c r="H18" s="98"/>
      <c r="I18" s="93">
        <f>FormSampel!C17</f>
        <v>46691</v>
      </c>
      <c r="J18" s="94"/>
    </row>
    <row r="19" spans="1:26" x14ac:dyDescent="0.25">
      <c r="A19" s="95" t="s">
        <v>47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 x14ac:dyDescent="0.25">
      <c r="A20" s="100" t="s">
        <v>48</v>
      </c>
      <c r="B20" s="101"/>
      <c r="C20" s="29">
        <f>FormSampel!G18</f>
        <v>0</v>
      </c>
      <c r="D20" s="30" t="s">
        <v>49</v>
      </c>
      <c r="E20" s="31">
        <v>1000</v>
      </c>
      <c r="F20" s="102" t="s">
        <v>50</v>
      </c>
      <c r="G20" s="101"/>
      <c r="H20" s="103" t="str">
        <f>IF(AND(C21&lt;0.15),"&lt;0.15",C21)</f>
        <v>&lt;0.15</v>
      </c>
      <c r="I20" s="104"/>
      <c r="J20" s="32" t="s">
        <v>51</v>
      </c>
    </row>
    <row r="21" spans="1:26" ht="15.75" customHeight="1" x14ac:dyDescent="0.25">
      <c r="A21" s="33" t="s">
        <v>52</v>
      </c>
      <c r="B21" s="34"/>
      <c r="C21" s="105">
        <f>C20/1000</f>
        <v>0</v>
      </c>
      <c r="D21" s="106"/>
      <c r="E21" s="35"/>
      <c r="F21" s="34"/>
      <c r="G21" s="34"/>
      <c r="H21" s="34"/>
      <c r="I21" s="34"/>
      <c r="J21" s="32"/>
    </row>
    <row r="22" spans="1:26" ht="15.75" customHeight="1" x14ac:dyDescent="0.25">
      <c r="A22" s="107" t="s">
        <v>55</v>
      </c>
      <c r="B22" s="108"/>
      <c r="C22" s="108"/>
      <c r="D22" s="108"/>
      <c r="E22" s="108"/>
      <c r="F22" s="108"/>
      <c r="G22" s="108"/>
      <c r="H22" s="108"/>
      <c r="I22" s="108"/>
      <c r="J22" s="10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0" t="s">
        <v>48</v>
      </c>
      <c r="B23" s="101"/>
      <c r="C23" s="29">
        <f>FormSampel!H18</f>
        <v>0</v>
      </c>
      <c r="D23" s="30" t="s">
        <v>49</v>
      </c>
      <c r="E23" s="36">
        <v>1000</v>
      </c>
      <c r="F23" s="102" t="s">
        <v>50</v>
      </c>
      <c r="G23" s="101"/>
      <c r="H23" s="103" t="str">
        <f>IF(C24&lt;0.15,"&lt;0.15",C24)</f>
        <v>&lt;0.15</v>
      </c>
      <c r="I23" s="104"/>
      <c r="J23" s="32" t="s">
        <v>51</v>
      </c>
    </row>
    <row r="24" spans="1:26" ht="15.75" customHeight="1" x14ac:dyDescent="0.25">
      <c r="A24" s="33" t="s">
        <v>52</v>
      </c>
      <c r="B24" s="34"/>
      <c r="C24" s="105">
        <f>C23/1000</f>
        <v>0</v>
      </c>
      <c r="D24" s="106"/>
      <c r="E24" s="35"/>
      <c r="F24" s="34"/>
      <c r="G24" s="34"/>
      <c r="H24" s="34"/>
      <c r="I24" s="34"/>
      <c r="J24" s="32"/>
    </row>
    <row r="25" spans="1:26" ht="15.75" customHeight="1" x14ac:dyDescent="0.25">
      <c r="A25" s="107" t="s">
        <v>53</v>
      </c>
      <c r="B25" s="108"/>
      <c r="C25" s="108"/>
      <c r="D25" s="108"/>
      <c r="E25" s="108"/>
      <c r="F25" s="108"/>
      <c r="G25" s="108"/>
      <c r="H25" s="108"/>
      <c r="I25" s="108"/>
      <c r="J25" s="10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0" t="s">
        <v>48</v>
      </c>
      <c r="B26" s="111"/>
      <c r="C26" s="29">
        <f>FormSampel!I18</f>
        <v>0</v>
      </c>
      <c r="D26" s="30" t="s">
        <v>49</v>
      </c>
      <c r="E26" s="36">
        <v>1000</v>
      </c>
      <c r="F26" s="112" t="s">
        <v>50</v>
      </c>
      <c r="G26" s="101"/>
      <c r="H26" s="103" t="str">
        <f>IF(AND(C27&lt;0.15),"&lt;0.15",C27)</f>
        <v>&lt;0.15</v>
      </c>
      <c r="I26" s="104"/>
      <c r="J26" s="37" t="s">
        <v>51</v>
      </c>
    </row>
    <row r="27" spans="1:26" ht="15.75" customHeight="1" x14ac:dyDescent="0.25">
      <c r="A27" s="33" t="s">
        <v>52</v>
      </c>
      <c r="B27" s="34"/>
      <c r="C27" s="113">
        <f>C26/1000</f>
        <v>0</v>
      </c>
      <c r="D27" s="114"/>
      <c r="E27" s="35"/>
      <c r="F27" s="34"/>
      <c r="G27" s="34"/>
      <c r="H27" s="34"/>
      <c r="I27" s="34"/>
      <c r="J27" s="32"/>
    </row>
    <row r="28" spans="1:26" ht="15.75" customHeight="1" x14ac:dyDescent="0.25">
      <c r="A28" s="107" t="s">
        <v>54</v>
      </c>
      <c r="B28" s="108"/>
      <c r="C28" s="108"/>
      <c r="D28" s="108"/>
      <c r="E28" s="108"/>
      <c r="F28" s="108"/>
      <c r="G28" s="108"/>
      <c r="H28" s="108"/>
      <c r="I28" s="108"/>
      <c r="J28" s="10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0" t="s">
        <v>48</v>
      </c>
      <c r="B29" s="111"/>
      <c r="C29" s="29">
        <f>FormSampel!J18</f>
        <v>0</v>
      </c>
      <c r="D29" s="30" t="s">
        <v>49</v>
      </c>
      <c r="E29" s="36">
        <v>1000</v>
      </c>
      <c r="F29" s="115" t="s">
        <v>50</v>
      </c>
      <c r="G29" s="111"/>
      <c r="H29" s="103" t="str">
        <f>IF(AND(C30&lt;0.15),"&lt;0.15",C30)</f>
        <v>&lt;0.15</v>
      </c>
      <c r="I29" s="104"/>
      <c r="J29" s="32" t="s">
        <v>51</v>
      </c>
    </row>
    <row r="30" spans="1:26" ht="15.75" customHeight="1" x14ac:dyDescent="0.25">
      <c r="A30" s="33" t="s">
        <v>52</v>
      </c>
      <c r="B30" s="34"/>
      <c r="C30" s="105">
        <f>C29/1000</f>
        <v>0</v>
      </c>
      <c r="D30" s="106"/>
      <c r="E30" s="35"/>
      <c r="F30" s="34"/>
      <c r="G30" s="34"/>
      <c r="H30" s="34"/>
      <c r="I30" s="34"/>
      <c r="J30" s="32"/>
    </row>
    <row r="31" spans="1:26" ht="15.75" customHeight="1" x14ac:dyDescent="0.25">
      <c r="A31" s="148" t="s">
        <v>56</v>
      </c>
      <c r="B31" s="117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49" t="s">
        <v>58</v>
      </c>
      <c r="C32" s="111"/>
      <c r="D32" s="111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1"/>
      <c r="C33" s="111"/>
      <c r="D33" s="111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49" t="s">
        <v>59</v>
      </c>
      <c r="C34" s="111"/>
      <c r="D34" s="111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1"/>
      <c r="C35" s="111"/>
      <c r="D35" s="111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0" t="s">
        <v>60</v>
      </c>
      <c r="B38" s="117"/>
      <c r="C38" s="117"/>
      <c r="D38" s="117"/>
      <c r="E38" s="118"/>
      <c r="F38" s="137">
        <f>FormSampel!B19</f>
        <v>0</v>
      </c>
      <c r="G38" s="138"/>
      <c r="H38" s="141">
        <f>FormSampel!B20</f>
        <v>45432</v>
      </c>
      <c r="I38" s="141"/>
      <c r="J38" s="142"/>
    </row>
    <row r="39" spans="1:26" ht="11.25" customHeight="1" x14ac:dyDescent="0.25">
      <c r="A39" s="146"/>
      <c r="B39" s="147"/>
      <c r="C39" s="147"/>
      <c r="D39" s="147"/>
      <c r="E39" s="151"/>
      <c r="F39" s="139"/>
      <c r="G39" s="140"/>
      <c r="H39" s="143"/>
      <c r="I39" s="143"/>
      <c r="J39" s="144"/>
    </row>
    <row r="40" spans="1:26" ht="15.75" customHeight="1" x14ac:dyDescent="0.25">
      <c r="A40" s="145" t="s">
        <v>61</v>
      </c>
      <c r="B40" s="117"/>
      <c r="C40" s="117"/>
      <c r="D40" s="117"/>
      <c r="E40" s="117"/>
      <c r="F40" s="27"/>
      <c r="G40" s="23"/>
      <c r="H40" s="23"/>
      <c r="I40" s="23"/>
      <c r="J40" s="16"/>
    </row>
    <row r="41" spans="1:26" ht="11.25" customHeight="1" x14ac:dyDescent="0.25">
      <c r="A41" s="146"/>
      <c r="B41" s="147"/>
      <c r="C41" s="147"/>
      <c r="D41" s="147"/>
      <c r="E41" s="147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2025-01-14T04:55:11Z</dcterms:modified>
</cp:coreProperties>
</file>